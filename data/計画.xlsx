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〇市道 南千反畑町第１号線舗装補修工事\１０測量と設計照査\そういち担当\"/>
    </mc:Choice>
  </mc:AlternateContent>
  <xr:revisionPtr revIDLastSave="0" documentId="13_ncr:1_{C95C783A-FD16-4784-A306-F01A4E6CAF73}" xr6:coauthVersionLast="47" xr6:coauthVersionMax="47" xr10:uidLastSave="{00000000-0000-0000-0000-000000000000}"/>
  <bookViews>
    <workbookView xWindow="-120" yWindow="-120" windowWidth="29040" windowHeight="15720" activeTab="4" xr2:uid="{9B8B15DF-CC4A-4363-BE7A-E60876B7E9DD}"/>
  </bookViews>
  <sheets>
    <sheet name="縦断 (現況)" sheetId="9" r:id="rId1"/>
    <sheet name="縦断 (計画)" sheetId="12" r:id="rId2"/>
    <sheet name="横断(現況)" sheetId="8" r:id="rId3"/>
    <sheet name="横断(計画)" sheetId="7" r:id="rId4"/>
    <sheet name="計画まとめ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4" i="6" l="1"/>
  <c r="H169" i="6"/>
  <c r="H164" i="6"/>
  <c r="H165" i="6" s="1"/>
  <c r="H166" i="6" s="1"/>
  <c r="H160" i="6"/>
  <c r="H161" i="6" s="1"/>
  <c r="F180" i="6"/>
  <c r="F181" i="6" s="1"/>
  <c r="F174" i="6"/>
  <c r="F169" i="6"/>
  <c r="F170" i="6" s="1"/>
  <c r="F171" i="6" s="1"/>
  <c r="F164" i="6"/>
  <c r="F160" i="6"/>
  <c r="F161" i="6" s="1"/>
  <c r="G166" i="6"/>
  <c r="K153" i="6"/>
  <c r="D171" i="6"/>
  <c r="L180" i="6"/>
  <c r="H180" i="6"/>
  <c r="H181" i="6" s="1"/>
  <c r="G180" i="6"/>
  <c r="G181" i="6" s="1"/>
  <c r="D180" i="6"/>
  <c r="L175" i="6"/>
  <c r="H175" i="6"/>
  <c r="H176" i="6" s="1"/>
  <c r="G175" i="6"/>
  <c r="G176" i="6" s="1"/>
  <c r="F175" i="6"/>
  <c r="F176" i="6" s="1"/>
  <c r="D175" i="6"/>
  <c r="L170" i="6"/>
  <c r="H170" i="6"/>
  <c r="H171" i="6" s="1"/>
  <c r="G170" i="6"/>
  <c r="G171" i="6" s="1"/>
  <c r="D170" i="6"/>
  <c r="L165" i="6"/>
  <c r="G165" i="6"/>
  <c r="F165" i="6"/>
  <c r="F166" i="6" s="1"/>
  <c r="D165" i="6"/>
  <c r="D160" i="6"/>
  <c r="G160" i="6"/>
  <c r="G161" i="6" s="1"/>
  <c r="L160" i="6"/>
  <c r="J149" i="6"/>
  <c r="J150" i="6" s="1"/>
  <c r="I149" i="6"/>
  <c r="I150" i="6" s="1"/>
  <c r="F149" i="6"/>
  <c r="F150" i="6" s="1"/>
  <c r="J153" i="6"/>
  <c r="J154" i="6" s="1"/>
  <c r="J155" i="6" s="1"/>
  <c r="J148" i="6"/>
  <c r="I148" i="6"/>
  <c r="I153" i="6"/>
  <c r="I154" i="6" s="1"/>
  <c r="I155" i="6" s="1"/>
  <c r="H153" i="6"/>
  <c r="H154" i="6" s="1"/>
  <c r="H155" i="6" s="1"/>
  <c r="E153" i="6"/>
  <c r="E154" i="6" s="1"/>
  <c r="E155" i="6" s="1"/>
  <c r="F153" i="6"/>
  <c r="F154" i="6" s="1"/>
  <c r="F155" i="6" s="1"/>
  <c r="H148" i="6"/>
  <c r="H149" i="6" s="1"/>
  <c r="H150" i="6" s="1"/>
  <c r="F148" i="6"/>
  <c r="C66" i="7"/>
  <c r="C64" i="7"/>
  <c r="F66" i="7"/>
  <c r="F64" i="7"/>
  <c r="I28" i="6" l="1"/>
  <c r="I29" i="6" s="1"/>
  <c r="I30" i="6" s="1"/>
  <c r="I33" i="6" l="1"/>
  <c r="I34" i="6" s="1"/>
  <c r="I35" i="6" s="1"/>
  <c r="I23" i="6"/>
  <c r="I24" i="6" s="1"/>
  <c r="I25" i="6" s="1"/>
  <c r="I18" i="6"/>
  <c r="I19" i="6" s="1"/>
  <c r="I20" i="6" s="1"/>
  <c r="I13" i="6"/>
  <c r="I14" i="6" s="1"/>
  <c r="I15" i="6" s="1"/>
  <c r="I8" i="6"/>
  <c r="I9" i="6" s="1"/>
  <c r="I10" i="6" s="1"/>
  <c r="I4" i="6"/>
  <c r="I5" i="6" s="1"/>
  <c r="F143" i="6"/>
  <c r="F144" i="6" s="1"/>
  <c r="F145" i="6" s="1"/>
  <c r="F138" i="6"/>
  <c r="F139" i="6" s="1"/>
  <c r="F140" i="6" s="1"/>
  <c r="F133" i="6"/>
  <c r="F134" i="6" s="1"/>
  <c r="F135" i="6" s="1"/>
  <c r="F128" i="6"/>
  <c r="F129" i="6" s="1"/>
  <c r="F130" i="6" s="1"/>
  <c r="F123" i="6"/>
  <c r="F124" i="6" s="1"/>
  <c r="F125" i="6" s="1"/>
  <c r="F118" i="6"/>
  <c r="F119" i="6" s="1"/>
  <c r="F120" i="6" s="1"/>
  <c r="F113" i="6"/>
  <c r="F114" i="6" s="1"/>
  <c r="F115" i="6" s="1"/>
  <c r="F108" i="6"/>
  <c r="F109" i="6" s="1"/>
  <c r="F110" i="6" s="1"/>
  <c r="F103" i="6"/>
  <c r="F104" i="6" s="1"/>
  <c r="F105" i="6" s="1"/>
  <c r="F98" i="6"/>
  <c r="F99" i="6" s="1"/>
  <c r="F100" i="6" s="1"/>
  <c r="F93" i="6"/>
  <c r="F94" i="6" s="1"/>
  <c r="F95" i="6" s="1"/>
  <c r="F88" i="6"/>
  <c r="F89" i="6" s="1"/>
  <c r="F90" i="6" s="1"/>
  <c r="F83" i="6"/>
  <c r="F84" i="6" s="1"/>
  <c r="F85" i="6" s="1"/>
  <c r="F73" i="6"/>
  <c r="F74" i="6" s="1"/>
  <c r="F75" i="6" s="1"/>
  <c r="F78" i="6"/>
  <c r="F79" i="6" s="1"/>
  <c r="F80" i="6" s="1"/>
  <c r="F68" i="6"/>
  <c r="F69" i="6" s="1"/>
  <c r="F70" i="6" s="1"/>
  <c r="F63" i="6"/>
  <c r="F64" i="6" s="1"/>
  <c r="F65" i="6" s="1"/>
  <c r="F58" i="6"/>
  <c r="F59" i="6" s="1"/>
  <c r="F60" i="6" s="1"/>
  <c r="F53" i="6"/>
  <c r="F54" i="6" s="1"/>
  <c r="F55" i="6" s="1"/>
  <c r="F48" i="6"/>
  <c r="F49" i="6" s="1"/>
  <c r="F50" i="6" s="1"/>
  <c r="F43" i="6"/>
  <c r="F44" i="6" s="1"/>
  <c r="F45" i="6" s="1"/>
  <c r="F38" i="6"/>
  <c r="F39" i="6" s="1"/>
  <c r="F40" i="6" s="1"/>
  <c r="F33" i="6"/>
  <c r="F34" i="6" s="1"/>
  <c r="F35" i="6" s="1"/>
  <c r="F28" i="6"/>
  <c r="F29" i="6" s="1"/>
  <c r="F30" i="6" s="1"/>
  <c r="F23" i="6"/>
  <c r="F24" i="6" s="1"/>
  <c r="F25" i="6" s="1"/>
  <c r="F18" i="6"/>
  <c r="F19" i="6" s="1"/>
  <c r="F20" i="6" s="1"/>
  <c r="F13" i="6"/>
  <c r="F14" i="6" s="1"/>
  <c r="F15" i="6" s="1"/>
  <c r="F8" i="6"/>
  <c r="F9" i="6" s="1"/>
  <c r="F10" i="6" s="1"/>
  <c r="F4" i="6"/>
  <c r="F5" i="6" s="1"/>
  <c r="G154" i="6"/>
  <c r="G155" i="6" s="1"/>
  <c r="H143" i="6"/>
  <c r="H144" i="6" s="1"/>
  <c r="H145" i="6" s="1"/>
  <c r="H138" i="6"/>
  <c r="H139" i="6" s="1"/>
  <c r="H140" i="6" s="1"/>
  <c r="H133" i="6"/>
  <c r="H134" i="6" s="1"/>
  <c r="H135" i="6" s="1"/>
  <c r="H128" i="6"/>
  <c r="H129" i="6" s="1"/>
  <c r="H130" i="6" s="1"/>
  <c r="H123" i="6"/>
  <c r="H124" i="6" s="1"/>
  <c r="H125" i="6" s="1"/>
  <c r="H118" i="6"/>
  <c r="H119" i="6" s="1"/>
  <c r="H120" i="6" s="1"/>
  <c r="H113" i="6"/>
  <c r="H114" i="6" s="1"/>
  <c r="H115" i="6" s="1"/>
  <c r="H108" i="6"/>
  <c r="H109" i="6" s="1"/>
  <c r="H110" i="6" s="1"/>
  <c r="H103" i="6"/>
  <c r="H104" i="6" s="1"/>
  <c r="H105" i="6" s="1"/>
  <c r="H98" i="6"/>
  <c r="H99" i="6" s="1"/>
  <c r="H100" i="6" s="1"/>
  <c r="H93" i="6"/>
  <c r="H94" i="6" s="1"/>
  <c r="H95" i="6" s="1"/>
  <c r="H88" i="6"/>
  <c r="H89" i="6" s="1"/>
  <c r="H90" i="6" s="1"/>
  <c r="H83" i="6"/>
  <c r="H84" i="6" s="1"/>
  <c r="H85" i="6" s="1"/>
  <c r="H78" i="6"/>
  <c r="H79" i="6" s="1"/>
  <c r="H80" i="6" s="1"/>
  <c r="H73" i="6"/>
  <c r="H74" i="6" s="1"/>
  <c r="H75" i="6" s="1"/>
  <c r="H68" i="6"/>
  <c r="H69" i="6" s="1"/>
  <c r="H70" i="6" s="1"/>
  <c r="H63" i="6"/>
  <c r="H64" i="6" s="1"/>
  <c r="H65" i="6" s="1"/>
  <c r="H58" i="6"/>
  <c r="H59" i="6" s="1"/>
  <c r="H60" i="6" s="1"/>
  <c r="H53" i="6"/>
  <c r="H54" i="6" s="1"/>
  <c r="H55" i="6" s="1"/>
  <c r="H48" i="6"/>
  <c r="H49" i="6" s="1"/>
  <c r="H50" i="6" s="1"/>
  <c r="H43" i="6"/>
  <c r="H44" i="6" s="1"/>
  <c r="H45" i="6" s="1"/>
  <c r="H38" i="6"/>
  <c r="H39" i="6" s="1"/>
  <c r="H40" i="6" s="1"/>
  <c r="H33" i="6"/>
  <c r="H34" i="6" s="1"/>
  <c r="H35" i="6" s="1"/>
  <c r="H28" i="6"/>
  <c r="H29" i="6" s="1"/>
  <c r="H30" i="6" s="1"/>
  <c r="H23" i="6"/>
  <c r="H24" i="6" s="1"/>
  <c r="H25" i="6" s="1"/>
  <c r="H18" i="6"/>
  <c r="H19" i="6" s="1"/>
  <c r="H20" i="6" s="1"/>
  <c r="H13" i="6"/>
  <c r="H14" i="6" s="1"/>
  <c r="H15" i="6" s="1"/>
  <c r="H8" i="6"/>
  <c r="H9" i="6" s="1"/>
  <c r="H10" i="6" s="1"/>
  <c r="H4" i="6"/>
  <c r="H5" i="6" s="1"/>
  <c r="L154" i="6"/>
  <c r="L149" i="6"/>
  <c r="L144" i="6"/>
  <c r="L139" i="6"/>
  <c r="L134" i="6"/>
  <c r="L129" i="6"/>
  <c r="L124" i="6"/>
  <c r="L119" i="6"/>
  <c r="L114" i="6"/>
  <c r="L109" i="6"/>
  <c r="L104" i="6"/>
  <c r="L99" i="6"/>
  <c r="L94" i="6"/>
  <c r="L89" i="6"/>
  <c r="L84" i="6"/>
  <c r="L79" i="6"/>
  <c r="L74" i="6"/>
  <c r="L69" i="6"/>
  <c r="L64" i="6"/>
  <c r="L59" i="6"/>
  <c r="L54" i="6"/>
  <c r="L49" i="6"/>
  <c r="L44" i="6"/>
  <c r="L39" i="6"/>
  <c r="L34" i="6"/>
  <c r="L29" i="6"/>
  <c r="L24" i="6"/>
  <c r="L19" i="6"/>
  <c r="L14" i="6"/>
  <c r="L9" i="6"/>
  <c r="L4" i="6"/>
  <c r="D154" i="6"/>
  <c r="D149" i="6"/>
  <c r="D144" i="6"/>
  <c r="D139" i="6"/>
  <c r="D134" i="6"/>
  <c r="D129" i="6"/>
  <c r="D124" i="6"/>
  <c r="D119" i="6"/>
  <c r="D114" i="6"/>
  <c r="D109" i="6"/>
  <c r="D104" i="6"/>
  <c r="D99" i="6"/>
  <c r="D94" i="6"/>
  <c r="D89" i="6"/>
  <c r="D84" i="6"/>
  <c r="D79" i="6"/>
  <c r="D74" i="6"/>
  <c r="D69" i="6"/>
  <c r="D64" i="6"/>
  <c r="D59" i="6"/>
  <c r="D54" i="6"/>
  <c r="D49" i="6"/>
  <c r="D44" i="6"/>
  <c r="D39" i="6"/>
  <c r="D34" i="6"/>
  <c r="D29" i="6"/>
  <c r="D24" i="6"/>
  <c r="D19" i="6"/>
  <c r="D14" i="6"/>
  <c r="D9" i="6"/>
  <c r="D4" i="6"/>
  <c r="G149" i="6"/>
  <c r="G150" i="6" s="1"/>
  <c r="G144" i="6"/>
  <c r="G145" i="6" s="1"/>
  <c r="G139" i="6"/>
  <c r="G140" i="6" s="1"/>
  <c r="G134" i="6"/>
  <c r="G135" i="6" s="1"/>
  <c r="G129" i="6"/>
  <c r="G130" i="6" s="1"/>
  <c r="G124" i="6"/>
  <c r="G125" i="6" s="1"/>
  <c r="G119" i="6"/>
  <c r="G120" i="6" s="1"/>
  <c r="G114" i="6"/>
  <c r="G115" i="6" s="1"/>
  <c r="G109" i="6"/>
  <c r="G110" i="6" s="1"/>
  <c r="G104" i="6"/>
  <c r="G105" i="6" s="1"/>
  <c r="G99" i="6"/>
  <c r="G100" i="6" s="1"/>
  <c r="G94" i="6"/>
  <c r="G95" i="6" s="1"/>
  <c r="G89" i="6"/>
  <c r="G90" i="6" s="1"/>
  <c r="G84" i="6"/>
  <c r="G85" i="6" s="1"/>
  <c r="G79" i="6"/>
  <c r="G80" i="6" s="1"/>
  <c r="G74" i="6"/>
  <c r="G75" i="6" s="1"/>
  <c r="G69" i="6"/>
  <c r="G70" i="6" s="1"/>
  <c r="G64" i="6"/>
  <c r="G65" i="6" s="1"/>
  <c r="G59" i="6"/>
  <c r="G60" i="6" s="1"/>
  <c r="G54" i="6"/>
  <c r="G55" i="6" s="1"/>
  <c r="G49" i="6"/>
  <c r="G50" i="6" s="1"/>
  <c r="G44" i="6"/>
  <c r="G45" i="6" s="1"/>
  <c r="G39" i="6"/>
  <c r="G40" i="6" s="1"/>
  <c r="G34" i="6"/>
  <c r="G35" i="6" s="1"/>
  <c r="G29" i="6"/>
  <c r="G30" i="6" s="1"/>
  <c r="G24" i="6"/>
  <c r="G25" i="6" s="1"/>
  <c r="G19" i="6"/>
  <c r="G20" i="6" s="1"/>
  <c r="G14" i="6"/>
  <c r="G15" i="6" s="1"/>
  <c r="G4" i="6"/>
  <c r="G5" i="6" s="1"/>
  <c r="G9" i="6"/>
  <c r="G10" i="6" s="1"/>
  <c r="E56" i="7" l="1"/>
  <c r="E26" i="12"/>
  <c r="E27" i="12"/>
  <c r="E28" i="12"/>
  <c r="E29" i="12"/>
  <c r="E30" i="12"/>
  <c r="E31" i="12"/>
  <c r="E32" i="12"/>
  <c r="E33" i="12"/>
  <c r="F26" i="12"/>
  <c r="F28" i="12"/>
  <c r="F29" i="12"/>
  <c r="F30" i="12"/>
  <c r="F33" i="12"/>
  <c r="E25" i="12"/>
  <c r="E23" i="12"/>
  <c r="E24" i="12"/>
  <c r="E22" i="12"/>
  <c r="F22" i="12" s="1"/>
  <c r="E20" i="12"/>
  <c r="F20" i="12" s="1"/>
  <c r="E21" i="12"/>
  <c r="F21" i="12" s="1"/>
  <c r="E19" i="12"/>
  <c r="F19" i="12" s="1"/>
  <c r="E16" i="12"/>
  <c r="E17" i="12"/>
  <c r="E18" i="12"/>
  <c r="F18" i="12" s="1"/>
  <c r="F24" i="12"/>
  <c r="E15" i="12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5" i="12"/>
  <c r="F5" i="12" s="1"/>
  <c r="F13" i="12"/>
  <c r="E22" i="7"/>
  <c r="F25" i="12"/>
  <c r="F23" i="12"/>
  <c r="F15" i="12"/>
  <c r="F16" i="12"/>
  <c r="F17" i="12"/>
  <c r="F12" i="12"/>
  <c r="F34" i="12"/>
  <c r="F32" i="12"/>
  <c r="F31" i="12"/>
  <c r="F27" i="12"/>
  <c r="F14" i="12"/>
  <c r="K8" i="12"/>
  <c r="K7" i="12"/>
  <c r="K6" i="12"/>
  <c r="K5" i="12"/>
  <c r="E33" i="9" l="1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J7" i="9"/>
  <c r="E7" i="9"/>
  <c r="J6" i="9"/>
  <c r="E6" i="9"/>
  <c r="J5" i="9"/>
  <c r="E5" i="9"/>
  <c r="J4" i="9"/>
  <c r="E4" i="9"/>
  <c r="F81" i="8" l="1"/>
  <c r="C81" i="8"/>
  <c r="F79" i="8"/>
  <c r="C79" i="8"/>
  <c r="F77" i="8"/>
  <c r="C77" i="8"/>
  <c r="F75" i="8"/>
  <c r="C75" i="8"/>
  <c r="F73" i="8"/>
  <c r="C73" i="8"/>
  <c r="F62" i="8"/>
  <c r="C62" i="8"/>
  <c r="F60" i="8"/>
  <c r="C60" i="8"/>
  <c r="F58" i="8"/>
  <c r="C58" i="8"/>
  <c r="F56" i="8"/>
  <c r="C56" i="8"/>
  <c r="F54" i="8"/>
  <c r="C54" i="8"/>
  <c r="F52" i="8"/>
  <c r="C52" i="8"/>
  <c r="F50" i="8"/>
  <c r="C50" i="8"/>
  <c r="F48" i="8"/>
  <c r="C48" i="8"/>
  <c r="F46" i="8"/>
  <c r="C46" i="8"/>
  <c r="F44" i="8"/>
  <c r="C44" i="8"/>
  <c r="F42" i="8"/>
  <c r="C42" i="8"/>
  <c r="F40" i="8"/>
  <c r="C40" i="8"/>
  <c r="F38" i="8"/>
  <c r="C38" i="8"/>
  <c r="F36" i="8"/>
  <c r="C36" i="8"/>
  <c r="F34" i="8"/>
  <c r="C34" i="8"/>
  <c r="F32" i="8"/>
  <c r="C32" i="8"/>
  <c r="F30" i="8"/>
  <c r="C30" i="8"/>
  <c r="F28" i="8"/>
  <c r="C28" i="8"/>
  <c r="F26" i="8"/>
  <c r="C26" i="8"/>
  <c r="F24" i="8"/>
  <c r="C24" i="8"/>
  <c r="F22" i="8"/>
  <c r="C22" i="8"/>
  <c r="F20" i="8"/>
  <c r="C20" i="8"/>
  <c r="F18" i="8"/>
  <c r="C18" i="8"/>
  <c r="F16" i="8"/>
  <c r="C16" i="8"/>
  <c r="F14" i="8"/>
  <c r="C14" i="8"/>
  <c r="F12" i="8"/>
  <c r="C12" i="8"/>
  <c r="F10" i="8"/>
  <c r="C10" i="8"/>
  <c r="F8" i="8"/>
  <c r="C8" i="8"/>
  <c r="F6" i="8"/>
  <c r="C6" i="8"/>
  <c r="F81" i="7"/>
  <c r="C81" i="7"/>
  <c r="F79" i="7"/>
  <c r="C79" i="7"/>
  <c r="F77" i="7"/>
  <c r="C77" i="7"/>
  <c r="F75" i="7"/>
  <c r="C75" i="7"/>
  <c r="F73" i="7"/>
  <c r="C73" i="7"/>
  <c r="F62" i="7"/>
  <c r="C62" i="7"/>
  <c r="F60" i="7"/>
  <c r="C60" i="7"/>
  <c r="F58" i="7"/>
  <c r="C58" i="7"/>
  <c r="F56" i="7"/>
  <c r="C56" i="7"/>
  <c r="F54" i="7"/>
  <c r="C54" i="7"/>
  <c r="F52" i="7"/>
  <c r="C52" i="7"/>
  <c r="F50" i="7"/>
  <c r="C50" i="7"/>
  <c r="F48" i="7"/>
  <c r="E48" i="7" s="1"/>
  <c r="C48" i="7"/>
  <c r="F46" i="7"/>
  <c r="C46" i="7"/>
  <c r="F44" i="7"/>
  <c r="C44" i="7"/>
  <c r="F42" i="7"/>
  <c r="C42" i="7"/>
  <c r="F40" i="7"/>
  <c r="C40" i="7"/>
  <c r="F38" i="7"/>
  <c r="C38" i="7"/>
  <c r="F36" i="7"/>
  <c r="E36" i="7" s="1"/>
  <c r="C36" i="7"/>
  <c r="F34" i="7"/>
  <c r="C34" i="7"/>
  <c r="F32" i="7"/>
  <c r="C32" i="7"/>
  <c r="F30" i="7"/>
  <c r="C30" i="7"/>
  <c r="F28" i="7"/>
  <c r="C28" i="7"/>
  <c r="F26" i="7"/>
  <c r="C26" i="7"/>
  <c r="F24" i="7"/>
  <c r="C24" i="7"/>
  <c r="F22" i="7"/>
  <c r="C22" i="7"/>
  <c r="F20" i="7"/>
  <c r="C20" i="7"/>
  <c r="F18" i="7"/>
  <c r="C18" i="7"/>
  <c r="F16" i="7"/>
  <c r="C16" i="7"/>
  <c r="F14" i="7"/>
  <c r="E14" i="7" s="1"/>
  <c r="C14" i="7"/>
  <c r="F12" i="7"/>
  <c r="C12" i="7"/>
  <c r="F10" i="7"/>
  <c r="C10" i="7"/>
  <c r="F8" i="7"/>
  <c r="C8" i="7"/>
  <c r="F6" i="7"/>
  <c r="C6" i="7"/>
</calcChain>
</file>

<file path=xl/sharedStrings.xml><?xml version="1.0" encoding="utf-8"?>
<sst xmlns="http://schemas.openxmlformats.org/spreadsheetml/2006/main" count="383" uniqueCount="59">
  <si>
    <t>No.0</t>
    <phoneticPr fontId="1"/>
  </si>
  <si>
    <t>No.0+10</t>
    <phoneticPr fontId="1"/>
  </si>
  <si>
    <t>No.1</t>
    <phoneticPr fontId="1"/>
  </si>
  <si>
    <t>No.1+10</t>
    <phoneticPr fontId="1"/>
  </si>
  <si>
    <t>地盤高</t>
    <rPh sb="0" eb="2">
      <t>ジバン</t>
    </rPh>
    <rPh sb="2" eb="3">
      <t>ダカ</t>
    </rPh>
    <phoneticPr fontId="1"/>
  </si>
  <si>
    <t>No.2</t>
    <phoneticPr fontId="1"/>
  </si>
  <si>
    <t>No.2+10</t>
    <phoneticPr fontId="1"/>
  </si>
  <si>
    <t>No.3</t>
    <phoneticPr fontId="1"/>
  </si>
  <si>
    <t>No.3+10</t>
    <phoneticPr fontId="1"/>
  </si>
  <si>
    <t>No.4</t>
    <phoneticPr fontId="1"/>
  </si>
  <si>
    <t>追加距離</t>
    <rPh sb="0" eb="4">
      <t>ツイカキョリ</t>
    </rPh>
    <phoneticPr fontId="1"/>
  </si>
  <si>
    <t>No.5</t>
    <phoneticPr fontId="1"/>
  </si>
  <si>
    <t>No.5+10</t>
    <phoneticPr fontId="1"/>
  </si>
  <si>
    <t>No.6</t>
    <phoneticPr fontId="1"/>
  </si>
  <si>
    <t>No.6+10</t>
    <phoneticPr fontId="1"/>
  </si>
  <si>
    <t>No.7</t>
    <phoneticPr fontId="1"/>
  </si>
  <si>
    <t>No.7+10</t>
    <phoneticPr fontId="1"/>
  </si>
  <si>
    <t>No.8</t>
    <phoneticPr fontId="1"/>
  </si>
  <si>
    <t>No.8+10</t>
    <phoneticPr fontId="1"/>
  </si>
  <si>
    <t>No.9</t>
    <phoneticPr fontId="1"/>
  </si>
  <si>
    <t>No.9+10</t>
    <phoneticPr fontId="1"/>
  </si>
  <si>
    <t>No.10</t>
    <phoneticPr fontId="1"/>
  </si>
  <si>
    <t>No.10+10</t>
    <phoneticPr fontId="1"/>
  </si>
  <si>
    <t>No.11</t>
    <phoneticPr fontId="1"/>
  </si>
  <si>
    <t>No.11+10</t>
    <phoneticPr fontId="1"/>
  </si>
  <si>
    <t>計画</t>
    <rPh sb="0" eb="2">
      <t>ケイカク</t>
    </rPh>
    <phoneticPr fontId="1"/>
  </si>
  <si>
    <t>L</t>
    <phoneticPr fontId="1"/>
  </si>
  <si>
    <t>R</t>
    <phoneticPr fontId="1"/>
  </si>
  <si>
    <t>C</t>
    <phoneticPr fontId="1"/>
  </si>
  <si>
    <t>勾配</t>
    <rPh sb="0" eb="2">
      <t>コウバイ</t>
    </rPh>
    <phoneticPr fontId="1"/>
  </si>
  <si>
    <t>現　　況</t>
    <rPh sb="0" eb="1">
      <t>ゲン</t>
    </rPh>
    <rPh sb="3" eb="4">
      <t>キョウ</t>
    </rPh>
    <phoneticPr fontId="1"/>
  </si>
  <si>
    <t>No.4+10</t>
    <phoneticPr fontId="1"/>
  </si>
  <si>
    <t>縦断勾配(現況)</t>
    <rPh sb="0" eb="2">
      <t>ジュウダン</t>
    </rPh>
    <rPh sb="2" eb="4">
      <t>コウバイ</t>
    </rPh>
    <rPh sb="5" eb="7">
      <t>ゲンキョウ</t>
    </rPh>
    <phoneticPr fontId="1"/>
  </si>
  <si>
    <t>高低差</t>
    <rPh sb="0" eb="3">
      <t>コウテイサ</t>
    </rPh>
    <phoneticPr fontId="1"/>
  </si>
  <si>
    <t>No.1+15.5マンホール</t>
    <phoneticPr fontId="1"/>
  </si>
  <si>
    <t>No.3+3.2マンホール</t>
    <phoneticPr fontId="1"/>
  </si>
  <si>
    <t>No.6+4.2</t>
    <phoneticPr fontId="1"/>
  </si>
  <si>
    <t>No.8+12.4マンホール</t>
    <phoneticPr fontId="1"/>
  </si>
  <si>
    <t>No.10+4.8マンホール</t>
    <phoneticPr fontId="1"/>
  </si>
  <si>
    <t>No.11+4.2</t>
    <phoneticPr fontId="1"/>
  </si>
  <si>
    <t>No.11+12.3</t>
    <phoneticPr fontId="1"/>
  </si>
  <si>
    <t>No.0+15.1</t>
    <phoneticPr fontId="1"/>
  </si>
  <si>
    <t>No.1+7.2</t>
    <phoneticPr fontId="1"/>
  </si>
  <si>
    <t>マンホール</t>
    <phoneticPr fontId="1"/>
  </si>
  <si>
    <t>No.6+4.2マンホール</t>
    <phoneticPr fontId="1"/>
  </si>
  <si>
    <t>計　　画</t>
    <rPh sb="0" eb="1">
      <t>ケイ</t>
    </rPh>
    <rPh sb="3" eb="4">
      <t>ガ</t>
    </rPh>
    <phoneticPr fontId="1"/>
  </si>
  <si>
    <t>No.0～No.3</t>
    <phoneticPr fontId="1"/>
  </si>
  <si>
    <t>No.4~No.6</t>
    <phoneticPr fontId="1"/>
  </si>
  <si>
    <t>No.6~No.7</t>
    <phoneticPr fontId="1"/>
  </si>
  <si>
    <t>No.7~No.8+10</t>
    <phoneticPr fontId="1"/>
  </si>
  <si>
    <t>No.8+10~No.11+10</t>
    <phoneticPr fontId="1"/>
  </si>
  <si>
    <t>現地盤高</t>
    <rPh sb="0" eb="3">
      <t>ゲンジバン</t>
    </rPh>
    <rPh sb="3" eb="4">
      <t>ダカ</t>
    </rPh>
    <phoneticPr fontId="1"/>
  </si>
  <si>
    <t>計画高</t>
    <rPh sb="0" eb="3">
      <t>ケイカクダカ</t>
    </rPh>
    <phoneticPr fontId="1"/>
  </si>
  <si>
    <t>切削高</t>
    <rPh sb="0" eb="2">
      <t>セッサク</t>
    </rPh>
    <rPh sb="2" eb="3">
      <t>ダカ</t>
    </rPh>
    <phoneticPr fontId="1"/>
  </si>
  <si>
    <t>切削厚</t>
    <rPh sb="0" eb="2">
      <t>セッサク</t>
    </rPh>
    <rPh sb="2" eb="3">
      <t>アツ</t>
    </rPh>
    <phoneticPr fontId="1"/>
  </si>
  <si>
    <t>左勾配</t>
    <rPh sb="0" eb="1">
      <t>ヒダリ</t>
    </rPh>
    <rPh sb="1" eb="3">
      <t>コウバイ</t>
    </rPh>
    <phoneticPr fontId="1"/>
  </si>
  <si>
    <t>右勾配</t>
    <rPh sb="0" eb="1">
      <t>ミギ</t>
    </rPh>
    <rPh sb="1" eb="3">
      <t>コウバイ</t>
    </rPh>
    <phoneticPr fontId="1"/>
  </si>
  <si>
    <t>左幅員</t>
    <rPh sb="0" eb="1">
      <t>ヒダリ</t>
    </rPh>
    <rPh sb="1" eb="3">
      <t>フクイン</t>
    </rPh>
    <phoneticPr fontId="1"/>
  </si>
  <si>
    <t>右幅員</t>
    <rPh sb="0" eb="3">
      <t>ミギフクイン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</si>
</sst>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0_ "/>
    <numFmt numFmtId="178" formatCode="0.00_ "/>
    <numFmt numFmtId="179" formatCode="0.0000"/>
    <numFmt numFmtId="180" formatCode="0.000%"/>
    <numFmt numFmtId="181" formatCode="0.0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8" xfId="0" applyNumberFormat="1" applyBorder="1">
      <alignment vertical="center"/>
    </xf>
    <xf numFmtId="0" fontId="4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2" fillId="2" borderId="12" xfId="0" applyNumberFormat="1" applyFont="1" applyFill="1" applyBorder="1">
      <alignment vertical="center"/>
    </xf>
    <xf numFmtId="176" fontId="2" fillId="2" borderId="13" xfId="0" applyNumberFormat="1" applyFont="1" applyFill="1" applyBorder="1">
      <alignment vertical="center"/>
    </xf>
    <xf numFmtId="0" fontId="0" fillId="3" borderId="5" xfId="0" applyFill="1" applyBorder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178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76" fontId="2" fillId="2" borderId="14" xfId="0" applyNumberFormat="1" applyFont="1" applyFill="1" applyBorder="1">
      <alignment vertical="center"/>
    </xf>
    <xf numFmtId="178" fontId="0" fillId="0" borderId="9" xfId="0" applyNumberFormat="1" applyBorder="1">
      <alignment vertical="center"/>
    </xf>
    <xf numFmtId="177" fontId="0" fillId="0" borderId="6" xfId="0" applyNumberFormat="1" applyBorder="1">
      <alignment vertical="center"/>
    </xf>
    <xf numFmtId="0" fontId="0" fillId="0" borderId="1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>
      <alignment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3" borderId="19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76" fontId="4" fillId="0" borderId="0" xfId="0" applyNumberFormat="1" applyFo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76" fontId="2" fillId="0" borderId="13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6" xfId="0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3" fillId="0" borderId="23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6" borderId="1" xfId="0" applyFill="1" applyBorder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176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7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176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right" vertical="center"/>
    </xf>
    <xf numFmtId="180" fontId="5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176" fontId="2" fillId="4" borderId="19" xfId="0" applyNumberFormat="1" applyFont="1" applyFill="1" applyBorder="1" applyAlignment="1">
      <alignment horizontal="center" vertical="center"/>
    </xf>
    <xf numFmtId="176" fontId="2" fillId="4" borderId="20" xfId="0" applyNumberFormat="1" applyFont="1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E453-54BB-4A5C-B5FD-60A2AD3402F0}">
  <sheetPr>
    <tabColor theme="7" tint="0.79998168889431442"/>
  </sheetPr>
  <dimension ref="B1:J295"/>
  <sheetViews>
    <sheetView workbookViewId="0">
      <selection activeCell="G35" sqref="G35"/>
    </sheetView>
  </sheetViews>
  <sheetFormatPr defaultRowHeight="18.75" x14ac:dyDescent="0.4"/>
  <cols>
    <col min="2" max="2" width="25.625" customWidth="1"/>
    <col min="5" max="5" width="16.75" style="1" customWidth="1"/>
    <col min="7" max="7" width="25.625" customWidth="1"/>
    <col min="10" max="10" width="16.75" style="1" customWidth="1"/>
  </cols>
  <sheetData>
    <row r="1" spans="2:10" ht="19.5" thickBot="1" x14ac:dyDescent="0.45">
      <c r="E1" s="1">
        <v>4.0000000000000001E-3</v>
      </c>
    </row>
    <row r="2" spans="2:10" x14ac:dyDescent="0.4">
      <c r="B2" s="4"/>
      <c r="C2" s="5" t="s">
        <v>4</v>
      </c>
      <c r="D2" s="5" t="s">
        <v>10</v>
      </c>
      <c r="E2" s="5" t="s">
        <v>32</v>
      </c>
      <c r="G2" s="4"/>
      <c r="H2" s="5" t="s">
        <v>4</v>
      </c>
      <c r="I2" s="5" t="s">
        <v>10</v>
      </c>
      <c r="J2" s="5" t="s">
        <v>32</v>
      </c>
    </row>
    <row r="3" spans="2:10" x14ac:dyDescent="0.4">
      <c r="B3" s="6" t="s">
        <v>0</v>
      </c>
      <c r="C3" s="3">
        <v>9.81</v>
      </c>
      <c r="D3" s="9"/>
      <c r="E3" s="11"/>
      <c r="G3" s="6" t="s">
        <v>0</v>
      </c>
      <c r="H3" s="3">
        <v>10.669</v>
      </c>
      <c r="I3" s="9"/>
      <c r="J3" s="11"/>
    </row>
    <row r="4" spans="2:10" x14ac:dyDescent="0.4">
      <c r="B4" s="6" t="s">
        <v>1</v>
      </c>
      <c r="C4" s="3">
        <v>9.8550000000000004</v>
      </c>
      <c r="D4" s="9">
        <v>10</v>
      </c>
      <c r="E4" s="11">
        <f>(C4-C3)/D4</f>
        <v>4.4999999999999927E-3</v>
      </c>
      <c r="G4" s="6" t="s">
        <v>1</v>
      </c>
      <c r="H4" s="3">
        <v>10.677</v>
      </c>
      <c r="I4" s="9">
        <v>10</v>
      </c>
      <c r="J4" s="11">
        <f>(H4-H3)/I4</f>
        <v>7.9999999999991189E-4</v>
      </c>
    </row>
    <row r="5" spans="2:10" x14ac:dyDescent="0.4">
      <c r="B5" s="6" t="s">
        <v>2</v>
      </c>
      <c r="C5" s="3">
        <v>9.9009999999999998</v>
      </c>
      <c r="D5" s="9">
        <v>10</v>
      </c>
      <c r="E5" s="11">
        <f t="shared" ref="E5:E32" si="0">(C5-C4)/D5</f>
        <v>4.5999999999999375E-3</v>
      </c>
      <c r="G5" s="6" t="s">
        <v>41</v>
      </c>
      <c r="H5" s="3">
        <v>10.702</v>
      </c>
      <c r="I5" s="9">
        <v>5.0999999999999996</v>
      </c>
      <c r="J5" s="11">
        <f t="shared" ref="J5:J7" si="1">(H5-H4)/I5</f>
        <v>4.9019607843137957E-3</v>
      </c>
    </row>
    <row r="6" spans="2:10" x14ac:dyDescent="0.4">
      <c r="B6" s="6" t="s">
        <v>3</v>
      </c>
      <c r="C6" s="3">
        <v>9.9350000000000005</v>
      </c>
      <c r="D6" s="9">
        <v>10</v>
      </c>
      <c r="E6" s="11">
        <f t="shared" si="0"/>
        <v>3.4000000000000696E-3</v>
      </c>
      <c r="G6" s="6" t="s">
        <v>2</v>
      </c>
      <c r="H6" s="3">
        <v>10.669</v>
      </c>
      <c r="I6" s="9">
        <v>4.9000000000000004</v>
      </c>
      <c r="J6" s="11">
        <f t="shared" si="1"/>
        <v>-6.7346938775509129E-3</v>
      </c>
    </row>
    <row r="7" spans="2:10" ht="19.5" thickBot="1" x14ac:dyDescent="0.45">
      <c r="B7" s="16" t="s">
        <v>34</v>
      </c>
      <c r="C7" s="3">
        <v>9.9450000000000003</v>
      </c>
      <c r="D7" s="9">
        <v>5.5</v>
      </c>
      <c r="E7" s="11">
        <f t="shared" si="0"/>
        <v>1.8181818181817794E-3</v>
      </c>
      <c r="G7" s="24" t="s">
        <v>42</v>
      </c>
      <c r="H7" s="7">
        <v>10.643000000000001</v>
      </c>
      <c r="I7" s="10">
        <v>7.2</v>
      </c>
      <c r="J7" s="12">
        <f t="shared" si="1"/>
        <v>-3.6111111111110832E-3</v>
      </c>
    </row>
    <row r="8" spans="2:10" x14ac:dyDescent="0.4">
      <c r="B8" s="6" t="s">
        <v>5</v>
      </c>
      <c r="C8" s="3">
        <v>9.9469999999999992</v>
      </c>
      <c r="D8" s="9">
        <v>4.5</v>
      </c>
      <c r="E8" s="11">
        <f t="shared" si="0"/>
        <v>4.4444444444419814E-4</v>
      </c>
      <c r="H8" s="2"/>
      <c r="J8" s="17"/>
    </row>
    <row r="9" spans="2:10" ht="18.75" customHeight="1" x14ac:dyDescent="0.4">
      <c r="B9" s="6" t="s">
        <v>6</v>
      </c>
      <c r="C9" s="3">
        <v>9.9870000000000001</v>
      </c>
      <c r="D9" s="9">
        <v>10</v>
      </c>
      <c r="E9" s="11">
        <f t="shared" si="0"/>
        <v>4.000000000000092E-3</v>
      </c>
      <c r="H9" s="2"/>
      <c r="J9" s="17"/>
    </row>
    <row r="10" spans="2:10" x14ac:dyDescent="0.4">
      <c r="B10" s="6" t="s">
        <v>7</v>
      </c>
      <c r="C10" s="3">
        <v>10.026</v>
      </c>
      <c r="D10" s="9">
        <v>10</v>
      </c>
      <c r="E10" s="11">
        <f t="shared" si="0"/>
        <v>3.8999999999999703E-3</v>
      </c>
      <c r="H10" s="2"/>
      <c r="J10" s="17"/>
    </row>
    <row r="11" spans="2:10" x14ac:dyDescent="0.4">
      <c r="B11" s="16" t="s">
        <v>35</v>
      </c>
      <c r="C11" s="3">
        <v>10.054</v>
      </c>
      <c r="D11" s="9">
        <v>3.2</v>
      </c>
      <c r="E11" s="11">
        <f t="shared" si="0"/>
        <v>8.7500000000001465E-3</v>
      </c>
      <c r="H11" s="2"/>
      <c r="J11" s="17"/>
    </row>
    <row r="12" spans="2:10" x14ac:dyDescent="0.4">
      <c r="B12" s="6" t="s">
        <v>8</v>
      </c>
      <c r="C12" s="3">
        <v>10.045999999999999</v>
      </c>
      <c r="D12" s="9">
        <v>6.8</v>
      </c>
      <c r="E12" s="11">
        <f>(C12-C11)/D12</f>
        <v>-1.1764705882354259E-3</v>
      </c>
      <c r="H12" s="2"/>
      <c r="J12" s="17"/>
    </row>
    <row r="13" spans="2:10" x14ac:dyDescent="0.4">
      <c r="B13" s="6" t="s">
        <v>9</v>
      </c>
      <c r="C13" s="3">
        <v>10.048999999999999</v>
      </c>
      <c r="D13" s="9">
        <v>10</v>
      </c>
      <c r="E13" s="11">
        <f t="shared" si="0"/>
        <v>3.0000000000001136E-4</v>
      </c>
      <c r="H13" s="2"/>
      <c r="J13" s="17"/>
    </row>
    <row r="14" spans="2:10" x14ac:dyDescent="0.4">
      <c r="B14" s="6" t="s">
        <v>31</v>
      </c>
      <c r="C14" s="3">
        <v>10.068</v>
      </c>
      <c r="D14" s="9">
        <v>10</v>
      </c>
      <c r="E14" s="11">
        <f t="shared" si="0"/>
        <v>1.9000000000000128E-3</v>
      </c>
      <c r="H14" s="2"/>
      <c r="J14" s="17"/>
    </row>
    <row r="15" spans="2:10" x14ac:dyDescent="0.4">
      <c r="B15" s="6" t="s">
        <v>11</v>
      </c>
      <c r="C15" s="3">
        <v>10.087999999999999</v>
      </c>
      <c r="D15" s="9">
        <v>10</v>
      </c>
      <c r="E15" s="11">
        <f t="shared" si="0"/>
        <v>1.9999999999999575E-3</v>
      </c>
      <c r="H15" s="2"/>
      <c r="J15" s="17"/>
    </row>
    <row r="16" spans="2:10" x14ac:dyDescent="0.4">
      <c r="B16" s="6" t="s">
        <v>12</v>
      </c>
      <c r="C16" s="3">
        <v>10.089</v>
      </c>
      <c r="D16" s="9">
        <v>10</v>
      </c>
      <c r="E16" s="11">
        <f t="shared" si="0"/>
        <v>1.0000000000012221E-4</v>
      </c>
      <c r="H16" s="2"/>
      <c r="J16" s="17"/>
    </row>
    <row r="17" spans="2:10" x14ac:dyDescent="0.4">
      <c r="B17" s="6" t="s">
        <v>13</v>
      </c>
      <c r="C17" s="3">
        <v>10.138</v>
      </c>
      <c r="D17" s="9">
        <v>10</v>
      </c>
      <c r="E17" s="11">
        <f t="shared" si="0"/>
        <v>4.8999999999999487E-3</v>
      </c>
      <c r="H17" s="2"/>
      <c r="J17" s="17"/>
    </row>
    <row r="18" spans="2:10" x14ac:dyDescent="0.4">
      <c r="B18" s="16" t="s">
        <v>36</v>
      </c>
      <c r="C18" s="3">
        <v>10.153</v>
      </c>
      <c r="D18" s="9">
        <v>4.2</v>
      </c>
      <c r="E18" s="11">
        <f t="shared" si="0"/>
        <v>3.5714285714287066E-3</v>
      </c>
      <c r="H18" s="2"/>
      <c r="J18" s="17"/>
    </row>
    <row r="19" spans="2:10" x14ac:dyDescent="0.4">
      <c r="B19" s="6" t="s">
        <v>14</v>
      </c>
      <c r="C19" s="3">
        <v>10.154</v>
      </c>
      <c r="D19" s="9">
        <v>5.8</v>
      </c>
      <c r="E19" s="11">
        <f t="shared" si="0"/>
        <v>1.7241379310335272E-4</v>
      </c>
      <c r="H19" s="2"/>
      <c r="J19" s="17"/>
    </row>
    <row r="20" spans="2:10" x14ac:dyDescent="0.4">
      <c r="B20" s="6" t="s">
        <v>15</v>
      </c>
      <c r="C20" s="3">
        <v>10.192</v>
      </c>
      <c r="D20" s="9">
        <v>10</v>
      </c>
      <c r="E20" s="11">
        <f t="shared" si="0"/>
        <v>3.8000000000000256E-3</v>
      </c>
      <c r="H20" s="2"/>
      <c r="J20" s="17"/>
    </row>
    <row r="21" spans="2:10" x14ac:dyDescent="0.4">
      <c r="B21" s="6" t="s">
        <v>16</v>
      </c>
      <c r="C21" s="3">
        <v>10.228</v>
      </c>
      <c r="D21" s="9">
        <v>10</v>
      </c>
      <c r="E21" s="11">
        <f t="shared" si="0"/>
        <v>3.5999999999999587E-3</v>
      </c>
      <c r="H21" s="2"/>
      <c r="J21" s="17"/>
    </row>
    <row r="22" spans="2:10" x14ac:dyDescent="0.4">
      <c r="B22" s="6" t="s">
        <v>17</v>
      </c>
      <c r="C22" s="3">
        <v>10.298999999999999</v>
      </c>
      <c r="D22" s="9">
        <v>10</v>
      </c>
      <c r="E22" s="11">
        <f t="shared" si="0"/>
        <v>7.0999999999999727E-3</v>
      </c>
      <c r="H22" s="2"/>
      <c r="J22" s="17"/>
    </row>
    <row r="23" spans="2:10" x14ac:dyDescent="0.4">
      <c r="B23" s="6" t="s">
        <v>18</v>
      </c>
      <c r="C23" s="3">
        <v>10.364000000000001</v>
      </c>
      <c r="D23" s="9">
        <v>10</v>
      </c>
      <c r="E23" s="11">
        <f t="shared" si="0"/>
        <v>6.5000000000001281E-3</v>
      </c>
      <c r="H23" s="2"/>
      <c r="J23" s="17"/>
    </row>
    <row r="24" spans="2:10" x14ac:dyDescent="0.4">
      <c r="B24" s="16" t="s">
        <v>37</v>
      </c>
      <c r="C24" s="3">
        <v>10.375999999999999</v>
      </c>
      <c r="D24" s="9">
        <v>2.4</v>
      </c>
      <c r="E24" s="11">
        <f t="shared" si="0"/>
        <v>4.9999999999994493E-3</v>
      </c>
      <c r="H24" s="2"/>
      <c r="J24" s="17"/>
    </row>
    <row r="25" spans="2:10" x14ac:dyDescent="0.4">
      <c r="B25" s="6" t="s">
        <v>19</v>
      </c>
      <c r="C25" s="3">
        <v>10.414</v>
      </c>
      <c r="D25" s="9">
        <v>7.6</v>
      </c>
      <c r="E25" s="11">
        <f t="shared" si="0"/>
        <v>5.0000000000000339E-3</v>
      </c>
      <c r="H25" s="2"/>
      <c r="J25" s="17"/>
    </row>
    <row r="26" spans="2:10" x14ac:dyDescent="0.4">
      <c r="B26" s="6" t="s">
        <v>20</v>
      </c>
      <c r="C26" s="3">
        <v>10.465</v>
      </c>
      <c r="D26" s="9">
        <v>10</v>
      </c>
      <c r="E26" s="11">
        <f t="shared" si="0"/>
        <v>5.100000000000016E-3</v>
      </c>
      <c r="H26" s="2"/>
      <c r="J26" s="17"/>
    </row>
    <row r="27" spans="2:10" x14ac:dyDescent="0.4">
      <c r="B27" s="6" t="s">
        <v>21</v>
      </c>
      <c r="C27" s="3">
        <v>10.544</v>
      </c>
      <c r="D27" s="9">
        <v>10</v>
      </c>
      <c r="E27" s="11">
        <f t="shared" si="0"/>
        <v>7.9000000000000632E-3</v>
      </c>
      <c r="H27" s="2"/>
      <c r="J27" s="17"/>
    </row>
    <row r="28" spans="2:10" x14ac:dyDescent="0.4">
      <c r="B28" s="16" t="s">
        <v>38</v>
      </c>
      <c r="C28" s="3">
        <v>10.589</v>
      </c>
      <c r="D28" s="9">
        <v>4.8</v>
      </c>
      <c r="E28" s="11">
        <f t="shared" si="0"/>
        <v>9.3749999999999858E-3</v>
      </c>
      <c r="H28" s="2"/>
      <c r="J28" s="17"/>
    </row>
    <row r="29" spans="2:10" x14ac:dyDescent="0.4">
      <c r="B29" s="6" t="s">
        <v>22</v>
      </c>
      <c r="C29" s="3">
        <v>10.598000000000001</v>
      </c>
      <c r="D29" s="9">
        <v>5.2</v>
      </c>
      <c r="E29" s="11">
        <f t="shared" si="0"/>
        <v>1.7307692307692963E-3</v>
      </c>
      <c r="H29" s="2"/>
      <c r="J29" s="17"/>
    </row>
    <row r="30" spans="2:10" x14ac:dyDescent="0.4">
      <c r="B30" s="6" t="s">
        <v>23</v>
      </c>
      <c r="C30" s="3">
        <v>10.669</v>
      </c>
      <c r="D30" s="9">
        <v>10</v>
      </c>
      <c r="E30" s="11">
        <f t="shared" si="0"/>
        <v>7.0999999999999727E-3</v>
      </c>
      <c r="H30" s="2"/>
      <c r="J30" s="17"/>
    </row>
    <row r="31" spans="2:10" x14ac:dyDescent="0.4">
      <c r="B31" s="6" t="s">
        <v>39</v>
      </c>
      <c r="C31" s="3">
        <v>10.686</v>
      </c>
      <c r="D31" s="9">
        <v>4.2</v>
      </c>
      <c r="E31" s="11">
        <f t="shared" si="0"/>
        <v>4.0476190476189189E-3</v>
      </c>
      <c r="H31" s="2"/>
      <c r="J31" s="17"/>
    </row>
    <row r="32" spans="2:10" x14ac:dyDescent="0.4">
      <c r="B32" s="6" t="s">
        <v>24</v>
      </c>
      <c r="C32" s="3">
        <v>10.734999999999999</v>
      </c>
      <c r="D32" s="9">
        <v>5.8</v>
      </c>
      <c r="E32" s="11">
        <f t="shared" si="0"/>
        <v>8.448275862068878E-3</v>
      </c>
      <c r="H32" s="2"/>
      <c r="J32" s="17"/>
    </row>
    <row r="33" spans="2:10" ht="19.5" thickBot="1" x14ac:dyDescent="0.45">
      <c r="B33" s="24" t="s">
        <v>40</v>
      </c>
      <c r="C33" s="7">
        <v>10.693</v>
      </c>
      <c r="D33" s="10">
        <v>2.2999999999999998</v>
      </c>
      <c r="E33" s="12">
        <f>(C33-C32)/D33</f>
        <v>-1.8260869565217313E-2</v>
      </c>
      <c r="H33" s="2"/>
      <c r="J33" s="17"/>
    </row>
    <row r="34" spans="2:10" x14ac:dyDescent="0.4">
      <c r="C34" s="2"/>
      <c r="H34" s="2"/>
    </row>
    <row r="35" spans="2:10" x14ac:dyDescent="0.4">
      <c r="B35" s="76"/>
      <c r="C35" s="76"/>
      <c r="D35" s="76"/>
      <c r="E35" s="76"/>
      <c r="H35" s="2"/>
    </row>
    <row r="36" spans="2:10" x14ac:dyDescent="0.4">
      <c r="B36" s="76"/>
      <c r="C36" s="76"/>
      <c r="D36" s="76"/>
      <c r="E36" s="76"/>
      <c r="H36" s="2"/>
    </row>
    <row r="37" spans="2:10" x14ac:dyDescent="0.4">
      <c r="C37" s="2"/>
      <c r="H37" s="2"/>
    </row>
    <row r="38" spans="2:10" x14ac:dyDescent="0.4">
      <c r="C38" s="2"/>
      <c r="H38" s="2"/>
    </row>
    <row r="39" spans="2:10" x14ac:dyDescent="0.4">
      <c r="C39" s="2"/>
      <c r="H39" s="2"/>
    </row>
    <row r="40" spans="2:10" x14ac:dyDescent="0.4">
      <c r="C40" s="2"/>
      <c r="H40" s="2"/>
    </row>
    <row r="41" spans="2:10" x14ac:dyDescent="0.4">
      <c r="C41" s="2"/>
      <c r="H41" s="2"/>
    </row>
    <row r="42" spans="2:10" x14ac:dyDescent="0.4">
      <c r="C42" s="2"/>
      <c r="H42" s="2"/>
    </row>
    <row r="43" spans="2:10" x14ac:dyDescent="0.4">
      <c r="C43" s="2"/>
      <c r="H43" s="2"/>
    </row>
    <row r="44" spans="2:10" x14ac:dyDescent="0.4">
      <c r="C44" s="2"/>
      <c r="H44" s="2"/>
    </row>
    <row r="45" spans="2:10" x14ac:dyDescent="0.4">
      <c r="C45" s="2"/>
      <c r="H45" s="2"/>
    </row>
    <row r="46" spans="2:10" x14ac:dyDescent="0.4">
      <c r="C46" s="2"/>
      <c r="H46" s="2"/>
    </row>
    <row r="47" spans="2:10" x14ac:dyDescent="0.4">
      <c r="C47" s="2"/>
      <c r="H47" s="2"/>
    </row>
    <row r="48" spans="2:10" x14ac:dyDescent="0.4">
      <c r="C48" s="2"/>
      <c r="H48" s="2"/>
    </row>
    <row r="49" spans="3:8" x14ac:dyDescent="0.4">
      <c r="C49" s="2"/>
      <c r="H49" s="2"/>
    </row>
    <row r="50" spans="3:8" x14ac:dyDescent="0.4">
      <c r="C50" s="2"/>
      <c r="H50" s="2"/>
    </row>
    <row r="51" spans="3:8" x14ac:dyDescent="0.4">
      <c r="C51" s="2"/>
      <c r="H51" s="2"/>
    </row>
    <row r="52" spans="3:8" x14ac:dyDescent="0.4">
      <c r="C52" s="2"/>
      <c r="H52" s="2"/>
    </row>
    <row r="53" spans="3:8" x14ac:dyDescent="0.4">
      <c r="C53" s="2"/>
      <c r="H53" s="2"/>
    </row>
    <row r="54" spans="3:8" x14ac:dyDescent="0.4">
      <c r="C54" s="2"/>
      <c r="H54" s="2"/>
    </row>
    <row r="55" spans="3:8" x14ac:dyDescent="0.4">
      <c r="C55" s="2"/>
      <c r="H55" s="2"/>
    </row>
    <row r="56" spans="3:8" x14ac:dyDescent="0.4">
      <c r="C56" s="2"/>
      <c r="H56" s="2"/>
    </row>
    <row r="57" spans="3:8" x14ac:dyDescent="0.4">
      <c r="C57" s="2"/>
      <c r="H57" s="2"/>
    </row>
    <row r="58" spans="3:8" x14ac:dyDescent="0.4">
      <c r="C58" s="2"/>
      <c r="H58" s="2"/>
    </row>
    <row r="59" spans="3:8" x14ac:dyDescent="0.4">
      <c r="C59" s="2"/>
      <c r="H59" s="2"/>
    </row>
    <row r="60" spans="3:8" x14ac:dyDescent="0.4">
      <c r="C60" s="2"/>
      <c r="H60" s="2"/>
    </row>
    <row r="61" spans="3:8" x14ac:dyDescent="0.4">
      <c r="C61" s="2"/>
      <c r="H61" s="2"/>
    </row>
    <row r="62" spans="3:8" x14ac:dyDescent="0.4">
      <c r="C62" s="2"/>
      <c r="H62" s="2"/>
    </row>
    <row r="63" spans="3:8" x14ac:dyDescent="0.4">
      <c r="C63" s="2"/>
      <c r="H63" s="2"/>
    </row>
    <row r="64" spans="3:8" x14ac:dyDescent="0.4">
      <c r="C64" s="2"/>
      <c r="H64" s="2"/>
    </row>
    <row r="65" spans="3:8" x14ac:dyDescent="0.4">
      <c r="C65" s="2"/>
      <c r="H65" s="2"/>
    </row>
    <row r="66" spans="3:8" x14ac:dyDescent="0.4">
      <c r="C66" s="2"/>
      <c r="H66" s="2"/>
    </row>
    <row r="67" spans="3:8" x14ac:dyDescent="0.4">
      <c r="C67" s="2"/>
      <c r="H67" s="2"/>
    </row>
    <row r="68" spans="3:8" x14ac:dyDescent="0.4">
      <c r="C68" s="2"/>
      <c r="H68" s="2"/>
    </row>
    <row r="69" spans="3:8" x14ac:dyDescent="0.4">
      <c r="C69" s="2"/>
      <c r="H69" s="2"/>
    </row>
    <row r="70" spans="3:8" x14ac:dyDescent="0.4">
      <c r="C70" s="2"/>
      <c r="H70" s="2"/>
    </row>
    <row r="71" spans="3:8" x14ac:dyDescent="0.4">
      <c r="C71" s="2"/>
      <c r="H71" s="2"/>
    </row>
    <row r="72" spans="3:8" x14ac:dyDescent="0.4">
      <c r="C72" s="2"/>
      <c r="H72" s="2"/>
    </row>
    <row r="73" spans="3:8" x14ac:dyDescent="0.4">
      <c r="C73" s="2"/>
      <c r="H73" s="2"/>
    </row>
    <row r="74" spans="3:8" x14ac:dyDescent="0.4">
      <c r="C74" s="2"/>
      <c r="H74" s="2"/>
    </row>
    <row r="75" spans="3:8" x14ac:dyDescent="0.4">
      <c r="C75" s="2"/>
      <c r="H75" s="2"/>
    </row>
    <row r="76" spans="3:8" x14ac:dyDescent="0.4">
      <c r="C76" s="2"/>
      <c r="H76" s="2"/>
    </row>
    <row r="77" spans="3:8" x14ac:dyDescent="0.4">
      <c r="C77" s="2"/>
      <c r="H77" s="2"/>
    </row>
    <row r="78" spans="3:8" x14ac:dyDescent="0.4">
      <c r="C78" s="2"/>
      <c r="H78" s="2"/>
    </row>
    <row r="79" spans="3:8" x14ac:dyDescent="0.4">
      <c r="C79" s="2"/>
      <c r="H79" s="2"/>
    </row>
    <row r="80" spans="3:8" x14ac:dyDescent="0.4">
      <c r="C80" s="2"/>
      <c r="H80" s="2"/>
    </row>
    <row r="81" spans="3:8" x14ac:dyDescent="0.4">
      <c r="C81" s="2"/>
      <c r="H81" s="2"/>
    </row>
    <row r="82" spans="3:8" x14ac:dyDescent="0.4">
      <c r="C82" s="2"/>
      <c r="H82" s="2"/>
    </row>
    <row r="83" spans="3:8" x14ac:dyDescent="0.4">
      <c r="C83" s="2"/>
      <c r="H83" s="2"/>
    </row>
    <row r="84" spans="3:8" x14ac:dyDescent="0.4">
      <c r="C84" s="2"/>
      <c r="H84" s="2"/>
    </row>
    <row r="85" spans="3:8" x14ac:dyDescent="0.4">
      <c r="C85" s="2"/>
      <c r="H85" s="2"/>
    </row>
    <row r="86" spans="3:8" x14ac:dyDescent="0.4">
      <c r="C86" s="2"/>
      <c r="H86" s="2"/>
    </row>
    <row r="87" spans="3:8" x14ac:dyDescent="0.4">
      <c r="C87" s="2"/>
      <c r="H87" s="2"/>
    </row>
    <row r="88" spans="3:8" x14ac:dyDescent="0.4">
      <c r="C88" s="2"/>
      <c r="H88" s="2"/>
    </row>
    <row r="89" spans="3:8" x14ac:dyDescent="0.4">
      <c r="C89" s="2"/>
      <c r="H89" s="2"/>
    </row>
    <row r="90" spans="3:8" x14ac:dyDescent="0.4">
      <c r="C90" s="2"/>
      <c r="H90" s="2"/>
    </row>
    <row r="91" spans="3:8" x14ac:dyDescent="0.4">
      <c r="C91" s="2"/>
      <c r="H91" s="2"/>
    </row>
    <row r="92" spans="3:8" x14ac:dyDescent="0.4">
      <c r="C92" s="2"/>
      <c r="H92" s="2"/>
    </row>
    <row r="93" spans="3:8" x14ac:dyDescent="0.4">
      <c r="C93" s="2"/>
      <c r="H93" s="2"/>
    </row>
    <row r="94" spans="3:8" x14ac:dyDescent="0.4">
      <c r="C94" s="2"/>
      <c r="H94" s="2"/>
    </row>
    <row r="95" spans="3:8" x14ac:dyDescent="0.4">
      <c r="C95" s="2"/>
      <c r="H95" s="2"/>
    </row>
    <row r="96" spans="3:8" x14ac:dyDescent="0.4">
      <c r="C96" s="2"/>
      <c r="H96" s="2"/>
    </row>
    <row r="97" spans="3:8" x14ac:dyDescent="0.4">
      <c r="C97" s="2"/>
      <c r="H97" s="2"/>
    </row>
    <row r="98" spans="3:8" x14ac:dyDescent="0.4">
      <c r="C98" s="2"/>
      <c r="H98" s="2"/>
    </row>
    <row r="99" spans="3:8" x14ac:dyDescent="0.4">
      <c r="C99" s="2"/>
      <c r="H99" s="2"/>
    </row>
    <row r="100" spans="3:8" x14ac:dyDescent="0.4">
      <c r="C100" s="2"/>
      <c r="H100" s="2"/>
    </row>
    <row r="101" spans="3:8" x14ac:dyDescent="0.4">
      <c r="C101" s="2"/>
      <c r="H101" s="2"/>
    </row>
    <row r="102" spans="3:8" x14ac:dyDescent="0.4">
      <c r="C102" s="2"/>
      <c r="H102" s="2"/>
    </row>
    <row r="103" spans="3:8" x14ac:dyDescent="0.4">
      <c r="C103" s="2"/>
      <c r="H103" s="2"/>
    </row>
    <row r="104" spans="3:8" x14ac:dyDescent="0.4">
      <c r="C104" s="2"/>
      <c r="H104" s="2"/>
    </row>
    <row r="105" spans="3:8" x14ac:dyDescent="0.4">
      <c r="C105" s="2"/>
      <c r="H105" s="2"/>
    </row>
    <row r="106" spans="3:8" x14ac:dyDescent="0.4">
      <c r="C106" s="2"/>
      <c r="H106" s="2"/>
    </row>
    <row r="107" spans="3:8" x14ac:dyDescent="0.4">
      <c r="C107" s="2"/>
      <c r="H107" s="2"/>
    </row>
    <row r="108" spans="3:8" x14ac:dyDescent="0.4">
      <c r="C108" s="2"/>
      <c r="H108" s="2"/>
    </row>
    <row r="109" spans="3:8" x14ac:dyDescent="0.4">
      <c r="C109" s="2"/>
      <c r="H109" s="2"/>
    </row>
    <row r="110" spans="3:8" x14ac:dyDescent="0.4">
      <c r="C110" s="2"/>
      <c r="H110" s="2"/>
    </row>
    <row r="111" spans="3:8" x14ac:dyDescent="0.4">
      <c r="C111" s="2"/>
      <c r="H111" s="2"/>
    </row>
    <row r="112" spans="3:8" x14ac:dyDescent="0.4">
      <c r="C112" s="2"/>
      <c r="H112" s="2"/>
    </row>
    <row r="113" spans="3:8" x14ac:dyDescent="0.4">
      <c r="C113" s="2"/>
      <c r="H113" s="2"/>
    </row>
    <row r="114" spans="3:8" x14ac:dyDescent="0.4">
      <c r="C114" s="2"/>
      <c r="H114" s="2"/>
    </row>
    <row r="115" spans="3:8" x14ac:dyDescent="0.4">
      <c r="C115" s="2"/>
      <c r="H115" s="2"/>
    </row>
    <row r="116" spans="3:8" x14ac:dyDescent="0.4">
      <c r="C116" s="2"/>
      <c r="H116" s="2"/>
    </row>
    <row r="117" spans="3:8" x14ac:dyDescent="0.4">
      <c r="C117" s="2"/>
      <c r="H117" s="2"/>
    </row>
    <row r="118" spans="3:8" x14ac:dyDescent="0.4">
      <c r="C118" s="2"/>
      <c r="H118" s="2"/>
    </row>
    <row r="119" spans="3:8" x14ac:dyDescent="0.4">
      <c r="C119" s="2"/>
      <c r="H119" s="2"/>
    </row>
    <row r="120" spans="3:8" x14ac:dyDescent="0.4">
      <c r="C120" s="2"/>
      <c r="H120" s="2"/>
    </row>
    <row r="121" spans="3:8" x14ac:dyDescent="0.4">
      <c r="C121" s="2"/>
      <c r="H121" s="2"/>
    </row>
    <row r="122" spans="3:8" x14ac:dyDescent="0.4">
      <c r="C122" s="2"/>
      <c r="H122" s="2"/>
    </row>
    <row r="123" spans="3:8" x14ac:dyDescent="0.4">
      <c r="C123" s="2"/>
      <c r="H123" s="2"/>
    </row>
    <row r="124" spans="3:8" x14ac:dyDescent="0.4">
      <c r="C124" s="2"/>
      <c r="H124" s="2"/>
    </row>
    <row r="125" spans="3:8" x14ac:dyDescent="0.4">
      <c r="C125" s="2"/>
      <c r="H125" s="2"/>
    </row>
    <row r="126" spans="3:8" x14ac:dyDescent="0.4">
      <c r="C126" s="2"/>
      <c r="H126" s="2"/>
    </row>
    <row r="127" spans="3:8" x14ac:dyDescent="0.4">
      <c r="C127" s="2"/>
      <c r="H127" s="2"/>
    </row>
    <row r="128" spans="3:8" x14ac:dyDescent="0.4">
      <c r="C128" s="2"/>
      <c r="H128" s="2"/>
    </row>
    <row r="129" spans="3:8" x14ac:dyDescent="0.4">
      <c r="C129" s="2"/>
      <c r="H129" s="2"/>
    </row>
    <row r="130" spans="3:8" x14ac:dyDescent="0.4">
      <c r="C130" s="2"/>
      <c r="H130" s="2"/>
    </row>
    <row r="131" spans="3:8" x14ac:dyDescent="0.4">
      <c r="C131" s="2"/>
      <c r="H131" s="2"/>
    </row>
    <row r="132" spans="3:8" x14ac:dyDescent="0.4">
      <c r="C132" s="2"/>
      <c r="H132" s="2"/>
    </row>
    <row r="133" spans="3:8" x14ac:dyDescent="0.4">
      <c r="C133" s="2"/>
      <c r="H133" s="2"/>
    </row>
    <row r="134" spans="3:8" x14ac:dyDescent="0.4">
      <c r="C134" s="2"/>
      <c r="H134" s="2"/>
    </row>
    <row r="135" spans="3:8" x14ac:dyDescent="0.4">
      <c r="C135" s="2"/>
      <c r="H135" s="2"/>
    </row>
    <row r="136" spans="3:8" x14ac:dyDescent="0.4">
      <c r="C136" s="2"/>
      <c r="H136" s="2"/>
    </row>
    <row r="137" spans="3:8" x14ac:dyDescent="0.4">
      <c r="C137" s="2"/>
      <c r="H137" s="2"/>
    </row>
    <row r="138" spans="3:8" x14ac:dyDescent="0.4">
      <c r="C138" s="2"/>
      <c r="H138" s="2"/>
    </row>
    <row r="139" spans="3:8" x14ac:dyDescent="0.4">
      <c r="C139" s="2"/>
      <c r="H139" s="2"/>
    </row>
    <row r="140" spans="3:8" x14ac:dyDescent="0.4">
      <c r="C140" s="2"/>
      <c r="H140" s="2"/>
    </row>
    <row r="141" spans="3:8" x14ac:dyDescent="0.4">
      <c r="C141" s="2"/>
      <c r="H141" s="2"/>
    </row>
    <row r="142" spans="3:8" x14ac:dyDescent="0.4">
      <c r="C142" s="2"/>
      <c r="H142" s="2"/>
    </row>
    <row r="143" spans="3:8" x14ac:dyDescent="0.4">
      <c r="C143" s="2"/>
      <c r="H143" s="2"/>
    </row>
    <row r="144" spans="3:8" x14ac:dyDescent="0.4">
      <c r="C144" s="2"/>
      <c r="H144" s="2"/>
    </row>
    <row r="145" spans="3:8" x14ac:dyDescent="0.4">
      <c r="C145" s="2"/>
      <c r="H145" s="2"/>
    </row>
    <row r="146" spans="3:8" x14ac:dyDescent="0.4">
      <c r="C146" s="2"/>
      <c r="H146" s="2"/>
    </row>
    <row r="147" spans="3:8" x14ac:dyDescent="0.4">
      <c r="C147" s="2"/>
      <c r="H147" s="2"/>
    </row>
    <row r="148" spans="3:8" x14ac:dyDescent="0.4">
      <c r="C148" s="2"/>
      <c r="H148" s="2"/>
    </row>
    <row r="149" spans="3:8" x14ac:dyDescent="0.4">
      <c r="C149" s="2"/>
      <c r="H149" s="2"/>
    </row>
    <row r="150" spans="3:8" x14ac:dyDescent="0.4">
      <c r="C150" s="2"/>
      <c r="H150" s="2"/>
    </row>
    <row r="151" spans="3:8" x14ac:dyDescent="0.4">
      <c r="C151" s="2"/>
      <c r="H151" s="2"/>
    </row>
    <row r="152" spans="3:8" x14ac:dyDescent="0.4">
      <c r="C152" s="2"/>
      <c r="H152" s="2"/>
    </row>
    <row r="153" spans="3:8" x14ac:dyDescent="0.4">
      <c r="C153" s="2"/>
      <c r="H153" s="2"/>
    </row>
    <row r="154" spans="3:8" x14ac:dyDescent="0.4">
      <c r="C154" s="2"/>
      <c r="H154" s="2"/>
    </row>
    <row r="155" spans="3:8" x14ac:dyDescent="0.4">
      <c r="C155" s="2"/>
      <c r="H155" s="2"/>
    </row>
    <row r="156" spans="3:8" x14ac:dyDescent="0.4">
      <c r="C156" s="2"/>
      <c r="H156" s="2"/>
    </row>
    <row r="157" spans="3:8" x14ac:dyDescent="0.4">
      <c r="C157" s="2"/>
      <c r="H157" s="2"/>
    </row>
    <row r="158" spans="3:8" x14ac:dyDescent="0.4">
      <c r="C158" s="2"/>
      <c r="H158" s="2"/>
    </row>
    <row r="159" spans="3:8" x14ac:dyDescent="0.4">
      <c r="C159" s="2"/>
      <c r="H159" s="2"/>
    </row>
    <row r="160" spans="3:8" x14ac:dyDescent="0.4">
      <c r="C160" s="2"/>
      <c r="H160" s="2"/>
    </row>
    <row r="161" spans="3:8" x14ac:dyDescent="0.4">
      <c r="C161" s="2"/>
      <c r="H161" s="2"/>
    </row>
    <row r="162" spans="3:8" x14ac:dyDescent="0.4">
      <c r="C162" s="2"/>
      <c r="H162" s="2"/>
    </row>
    <row r="163" spans="3:8" x14ac:dyDescent="0.4">
      <c r="C163" s="2"/>
      <c r="H163" s="2"/>
    </row>
    <row r="164" spans="3:8" x14ac:dyDescent="0.4">
      <c r="C164" s="2"/>
      <c r="H164" s="2"/>
    </row>
    <row r="165" spans="3:8" x14ac:dyDescent="0.4">
      <c r="C165" s="2"/>
      <c r="H165" s="2"/>
    </row>
    <row r="166" spans="3:8" x14ac:dyDescent="0.4">
      <c r="C166" s="2"/>
      <c r="H166" s="2"/>
    </row>
    <row r="167" spans="3:8" x14ac:dyDescent="0.4">
      <c r="C167" s="2"/>
      <c r="H167" s="2"/>
    </row>
    <row r="168" spans="3:8" x14ac:dyDescent="0.4">
      <c r="C168" s="2"/>
      <c r="H168" s="2"/>
    </row>
    <row r="169" spans="3:8" x14ac:dyDescent="0.4">
      <c r="C169" s="2"/>
      <c r="H169" s="2"/>
    </row>
    <row r="170" spans="3:8" x14ac:dyDescent="0.4">
      <c r="C170" s="2"/>
      <c r="H170" s="2"/>
    </row>
    <row r="171" spans="3:8" x14ac:dyDescent="0.4">
      <c r="C171" s="2"/>
      <c r="H171" s="2"/>
    </row>
    <row r="172" spans="3:8" x14ac:dyDescent="0.4">
      <c r="C172" s="2"/>
      <c r="H172" s="2"/>
    </row>
    <row r="173" spans="3:8" x14ac:dyDescent="0.4">
      <c r="C173" s="2"/>
      <c r="H173" s="2"/>
    </row>
    <row r="174" spans="3:8" x14ac:dyDescent="0.4">
      <c r="C174" s="2"/>
      <c r="H174" s="2"/>
    </row>
    <row r="175" spans="3:8" x14ac:dyDescent="0.4">
      <c r="C175" s="2"/>
      <c r="H175" s="2"/>
    </row>
    <row r="176" spans="3:8" x14ac:dyDescent="0.4">
      <c r="C176" s="2"/>
      <c r="H176" s="2"/>
    </row>
    <row r="177" spans="3:8" x14ac:dyDescent="0.4">
      <c r="C177" s="2"/>
      <c r="H177" s="2"/>
    </row>
    <row r="178" spans="3:8" x14ac:dyDescent="0.4">
      <c r="C178" s="2"/>
      <c r="H178" s="2"/>
    </row>
    <row r="179" spans="3:8" x14ac:dyDescent="0.4">
      <c r="C179" s="2"/>
      <c r="H179" s="2"/>
    </row>
    <row r="180" spans="3:8" x14ac:dyDescent="0.4">
      <c r="C180" s="2"/>
      <c r="H180" s="2"/>
    </row>
    <row r="181" spans="3:8" x14ac:dyDescent="0.4">
      <c r="C181" s="2"/>
      <c r="H181" s="2"/>
    </row>
    <row r="182" spans="3:8" x14ac:dyDescent="0.4">
      <c r="C182" s="2"/>
      <c r="H182" s="2"/>
    </row>
    <row r="183" spans="3:8" x14ac:dyDescent="0.4">
      <c r="C183" s="2"/>
      <c r="H183" s="2"/>
    </row>
    <row r="184" spans="3:8" x14ac:dyDescent="0.4">
      <c r="C184" s="2"/>
      <c r="H184" s="2"/>
    </row>
    <row r="185" spans="3:8" x14ac:dyDescent="0.4">
      <c r="C185" s="2"/>
      <c r="H185" s="2"/>
    </row>
    <row r="186" spans="3:8" x14ac:dyDescent="0.4">
      <c r="C186" s="2"/>
      <c r="H186" s="2"/>
    </row>
    <row r="187" spans="3:8" x14ac:dyDescent="0.4">
      <c r="C187" s="2"/>
      <c r="H187" s="2"/>
    </row>
    <row r="188" spans="3:8" x14ac:dyDescent="0.4">
      <c r="C188" s="2"/>
      <c r="H188" s="2"/>
    </row>
    <row r="189" spans="3:8" x14ac:dyDescent="0.4">
      <c r="C189" s="2"/>
      <c r="H189" s="2"/>
    </row>
    <row r="190" spans="3:8" x14ac:dyDescent="0.4">
      <c r="C190" s="2"/>
      <c r="H190" s="2"/>
    </row>
    <row r="191" spans="3:8" x14ac:dyDescent="0.4">
      <c r="C191" s="2"/>
      <c r="H191" s="2"/>
    </row>
    <row r="192" spans="3:8" x14ac:dyDescent="0.4">
      <c r="C192" s="2"/>
      <c r="H192" s="2"/>
    </row>
    <row r="193" spans="3:8" x14ac:dyDescent="0.4">
      <c r="C193" s="2"/>
      <c r="H193" s="2"/>
    </row>
    <row r="194" spans="3:8" x14ac:dyDescent="0.4">
      <c r="C194" s="2"/>
      <c r="H194" s="2"/>
    </row>
    <row r="195" spans="3:8" x14ac:dyDescent="0.4">
      <c r="C195" s="2"/>
      <c r="H195" s="2"/>
    </row>
    <row r="196" spans="3:8" x14ac:dyDescent="0.4">
      <c r="C196" s="2"/>
      <c r="H196" s="2"/>
    </row>
    <row r="197" spans="3:8" x14ac:dyDescent="0.4">
      <c r="C197" s="2"/>
      <c r="H197" s="2"/>
    </row>
    <row r="198" spans="3:8" x14ac:dyDescent="0.4">
      <c r="C198" s="2"/>
      <c r="H198" s="2"/>
    </row>
    <row r="199" spans="3:8" x14ac:dyDescent="0.4">
      <c r="C199" s="2"/>
      <c r="H199" s="2"/>
    </row>
    <row r="200" spans="3:8" x14ac:dyDescent="0.4">
      <c r="C200" s="2"/>
      <c r="H200" s="2"/>
    </row>
    <row r="201" spans="3:8" x14ac:dyDescent="0.4">
      <c r="C201" s="2"/>
      <c r="H201" s="2"/>
    </row>
    <row r="202" spans="3:8" x14ac:dyDescent="0.4">
      <c r="C202" s="2"/>
      <c r="H202" s="2"/>
    </row>
    <row r="203" spans="3:8" x14ac:dyDescent="0.4">
      <c r="C203" s="2"/>
      <c r="H203" s="2"/>
    </row>
    <row r="204" spans="3:8" x14ac:dyDescent="0.4">
      <c r="C204" s="2"/>
      <c r="H204" s="2"/>
    </row>
    <row r="205" spans="3:8" x14ac:dyDescent="0.4">
      <c r="C205" s="2"/>
      <c r="H205" s="2"/>
    </row>
    <row r="206" spans="3:8" x14ac:dyDescent="0.4">
      <c r="C206" s="2"/>
      <c r="H206" s="2"/>
    </row>
    <row r="207" spans="3:8" x14ac:dyDescent="0.4">
      <c r="C207" s="2"/>
      <c r="H207" s="2"/>
    </row>
    <row r="208" spans="3:8" x14ac:dyDescent="0.4">
      <c r="C208" s="2"/>
      <c r="H208" s="2"/>
    </row>
    <row r="209" spans="3:8" x14ac:dyDescent="0.4">
      <c r="C209" s="2"/>
      <c r="H209" s="2"/>
    </row>
    <row r="210" spans="3:8" x14ac:dyDescent="0.4">
      <c r="C210" s="2"/>
      <c r="H210" s="2"/>
    </row>
    <row r="211" spans="3:8" x14ac:dyDescent="0.4">
      <c r="C211" s="2"/>
      <c r="H211" s="2"/>
    </row>
    <row r="212" spans="3:8" x14ac:dyDescent="0.4">
      <c r="C212" s="2"/>
      <c r="H212" s="2"/>
    </row>
    <row r="213" spans="3:8" x14ac:dyDescent="0.4">
      <c r="C213" s="2"/>
      <c r="H213" s="2"/>
    </row>
    <row r="214" spans="3:8" x14ac:dyDescent="0.4">
      <c r="C214" s="2"/>
      <c r="H214" s="2"/>
    </row>
    <row r="215" spans="3:8" x14ac:dyDescent="0.4">
      <c r="C215" s="2"/>
      <c r="H215" s="2"/>
    </row>
    <row r="216" spans="3:8" x14ac:dyDescent="0.4">
      <c r="C216" s="2"/>
      <c r="H216" s="2"/>
    </row>
    <row r="217" spans="3:8" x14ac:dyDescent="0.4">
      <c r="C217" s="2"/>
      <c r="H217" s="2"/>
    </row>
    <row r="218" spans="3:8" x14ac:dyDescent="0.4">
      <c r="C218" s="2"/>
      <c r="H218" s="2"/>
    </row>
    <row r="219" spans="3:8" x14ac:dyDescent="0.4">
      <c r="C219" s="2"/>
      <c r="H219" s="2"/>
    </row>
    <row r="220" spans="3:8" x14ac:dyDescent="0.4">
      <c r="C220" s="2"/>
      <c r="H220" s="2"/>
    </row>
    <row r="221" spans="3:8" x14ac:dyDescent="0.4">
      <c r="C221" s="2"/>
      <c r="H221" s="2"/>
    </row>
    <row r="222" spans="3:8" x14ac:dyDescent="0.4">
      <c r="C222" s="2"/>
      <c r="H222" s="2"/>
    </row>
    <row r="223" spans="3:8" x14ac:dyDescent="0.4">
      <c r="C223" s="2"/>
      <c r="H223" s="2"/>
    </row>
    <row r="224" spans="3:8" x14ac:dyDescent="0.4">
      <c r="C224" s="2"/>
      <c r="H224" s="2"/>
    </row>
    <row r="225" spans="3:8" x14ac:dyDescent="0.4">
      <c r="C225" s="2"/>
      <c r="H225" s="2"/>
    </row>
    <row r="226" spans="3:8" x14ac:dyDescent="0.4">
      <c r="C226" s="2"/>
      <c r="H226" s="2"/>
    </row>
    <row r="227" spans="3:8" x14ac:dyDescent="0.4">
      <c r="C227" s="2"/>
      <c r="H227" s="2"/>
    </row>
    <row r="228" spans="3:8" x14ac:dyDescent="0.4">
      <c r="C228" s="2"/>
      <c r="H228" s="2"/>
    </row>
    <row r="229" spans="3:8" x14ac:dyDescent="0.4">
      <c r="C229" s="2"/>
      <c r="H229" s="2"/>
    </row>
    <row r="230" spans="3:8" x14ac:dyDescent="0.4">
      <c r="C230" s="2"/>
      <c r="H230" s="2"/>
    </row>
    <row r="231" spans="3:8" x14ac:dyDescent="0.4">
      <c r="C231" s="2"/>
      <c r="H231" s="2"/>
    </row>
    <row r="232" spans="3:8" x14ac:dyDescent="0.4">
      <c r="C232" s="2"/>
      <c r="H232" s="2"/>
    </row>
    <row r="233" spans="3:8" x14ac:dyDescent="0.4">
      <c r="C233" s="2"/>
      <c r="H233" s="2"/>
    </row>
    <row r="234" spans="3:8" x14ac:dyDescent="0.4">
      <c r="C234" s="2"/>
      <c r="H234" s="2"/>
    </row>
    <row r="235" spans="3:8" x14ac:dyDescent="0.4">
      <c r="C235" s="2"/>
      <c r="H235" s="2"/>
    </row>
    <row r="236" spans="3:8" x14ac:dyDescent="0.4">
      <c r="C236" s="2"/>
      <c r="H236" s="2"/>
    </row>
    <row r="237" spans="3:8" x14ac:dyDescent="0.4">
      <c r="C237" s="2"/>
      <c r="H237" s="2"/>
    </row>
    <row r="238" spans="3:8" x14ac:dyDescent="0.4">
      <c r="C238" s="2"/>
      <c r="H238" s="2"/>
    </row>
    <row r="239" spans="3:8" x14ac:dyDescent="0.4">
      <c r="C239" s="2"/>
      <c r="H239" s="2"/>
    </row>
    <row r="240" spans="3:8" x14ac:dyDescent="0.4">
      <c r="C240" s="2"/>
      <c r="H240" s="2"/>
    </row>
    <row r="241" spans="3:8" x14ac:dyDescent="0.4">
      <c r="C241" s="2"/>
      <c r="H241" s="2"/>
    </row>
    <row r="242" spans="3:8" x14ac:dyDescent="0.4">
      <c r="C242" s="2"/>
      <c r="H242" s="2"/>
    </row>
    <row r="243" spans="3:8" x14ac:dyDescent="0.4">
      <c r="C243" s="2"/>
      <c r="H243" s="2"/>
    </row>
    <row r="244" spans="3:8" x14ac:dyDescent="0.4">
      <c r="C244" s="2"/>
      <c r="H244" s="2"/>
    </row>
    <row r="245" spans="3:8" x14ac:dyDescent="0.4">
      <c r="C245" s="2"/>
      <c r="H245" s="2"/>
    </row>
    <row r="246" spans="3:8" x14ac:dyDescent="0.4">
      <c r="C246" s="2"/>
      <c r="H246" s="2"/>
    </row>
    <row r="247" spans="3:8" x14ac:dyDescent="0.4">
      <c r="C247" s="2"/>
      <c r="H247" s="2"/>
    </row>
    <row r="248" spans="3:8" x14ac:dyDescent="0.4">
      <c r="C248" s="2"/>
      <c r="H248" s="2"/>
    </row>
    <row r="249" spans="3:8" x14ac:dyDescent="0.4">
      <c r="C249" s="2"/>
      <c r="H249" s="2"/>
    </row>
    <row r="250" spans="3:8" x14ac:dyDescent="0.4">
      <c r="C250" s="2"/>
      <c r="H250" s="2"/>
    </row>
    <row r="251" spans="3:8" x14ac:dyDescent="0.4">
      <c r="C251" s="2"/>
      <c r="H251" s="2"/>
    </row>
    <row r="252" spans="3:8" x14ac:dyDescent="0.4">
      <c r="C252" s="2"/>
      <c r="H252" s="2"/>
    </row>
    <row r="253" spans="3:8" x14ac:dyDescent="0.4">
      <c r="C253" s="2"/>
      <c r="H253" s="2"/>
    </row>
    <row r="254" spans="3:8" x14ac:dyDescent="0.4">
      <c r="C254" s="2"/>
      <c r="H254" s="2"/>
    </row>
    <row r="255" spans="3:8" x14ac:dyDescent="0.4">
      <c r="C255" s="2"/>
      <c r="H255" s="2"/>
    </row>
    <row r="256" spans="3:8" x14ac:dyDescent="0.4">
      <c r="C256" s="2"/>
      <c r="H256" s="2"/>
    </row>
    <row r="257" spans="3:8" x14ac:dyDescent="0.4">
      <c r="C257" s="2"/>
      <c r="H257" s="2"/>
    </row>
    <row r="258" spans="3:8" x14ac:dyDescent="0.4">
      <c r="C258" s="2"/>
      <c r="H258" s="2"/>
    </row>
    <row r="259" spans="3:8" x14ac:dyDescent="0.4">
      <c r="C259" s="2"/>
      <c r="H259" s="2"/>
    </row>
    <row r="260" spans="3:8" x14ac:dyDescent="0.4">
      <c r="C260" s="2"/>
      <c r="H260" s="2"/>
    </row>
    <row r="261" spans="3:8" x14ac:dyDescent="0.4">
      <c r="C261" s="2"/>
      <c r="H261" s="2"/>
    </row>
    <row r="262" spans="3:8" x14ac:dyDescent="0.4">
      <c r="C262" s="2"/>
      <c r="H262" s="2"/>
    </row>
    <row r="263" spans="3:8" x14ac:dyDescent="0.4">
      <c r="C263" s="2"/>
      <c r="H263" s="2"/>
    </row>
    <row r="264" spans="3:8" x14ac:dyDescent="0.4">
      <c r="C264" s="2"/>
      <c r="H264" s="2"/>
    </row>
    <row r="265" spans="3:8" x14ac:dyDescent="0.4">
      <c r="C265" s="2"/>
      <c r="H265" s="2"/>
    </row>
    <row r="266" spans="3:8" x14ac:dyDescent="0.4">
      <c r="C266" s="2"/>
      <c r="H266" s="2"/>
    </row>
    <row r="267" spans="3:8" x14ac:dyDescent="0.4">
      <c r="C267" s="2"/>
      <c r="H267" s="2"/>
    </row>
    <row r="268" spans="3:8" x14ac:dyDescent="0.4">
      <c r="C268" s="2"/>
      <c r="H268" s="2"/>
    </row>
    <row r="269" spans="3:8" x14ac:dyDescent="0.4">
      <c r="C269" s="2"/>
      <c r="H269" s="2"/>
    </row>
    <row r="270" spans="3:8" x14ac:dyDescent="0.4">
      <c r="C270" s="2"/>
      <c r="H270" s="2"/>
    </row>
    <row r="271" spans="3:8" x14ac:dyDescent="0.4">
      <c r="C271" s="2"/>
      <c r="H271" s="2"/>
    </row>
    <row r="272" spans="3:8" x14ac:dyDescent="0.4">
      <c r="C272" s="2"/>
      <c r="H272" s="2"/>
    </row>
    <row r="273" spans="3:8" x14ac:dyDescent="0.4">
      <c r="C273" s="2"/>
      <c r="H273" s="2"/>
    </row>
    <row r="274" spans="3:8" x14ac:dyDescent="0.4">
      <c r="C274" s="2"/>
      <c r="H274" s="2"/>
    </row>
    <row r="275" spans="3:8" x14ac:dyDescent="0.4">
      <c r="C275" s="2"/>
      <c r="H275" s="2"/>
    </row>
    <row r="276" spans="3:8" x14ac:dyDescent="0.4">
      <c r="C276" s="2"/>
      <c r="H276" s="2"/>
    </row>
    <row r="277" spans="3:8" x14ac:dyDescent="0.4">
      <c r="C277" s="2"/>
      <c r="H277" s="2"/>
    </row>
    <row r="278" spans="3:8" x14ac:dyDescent="0.4">
      <c r="C278" s="2"/>
      <c r="H278" s="2"/>
    </row>
    <row r="279" spans="3:8" x14ac:dyDescent="0.4">
      <c r="C279" s="2"/>
      <c r="H279" s="2"/>
    </row>
    <row r="280" spans="3:8" x14ac:dyDescent="0.4">
      <c r="C280" s="2"/>
      <c r="H280" s="2"/>
    </row>
    <row r="281" spans="3:8" x14ac:dyDescent="0.4">
      <c r="C281" s="2"/>
      <c r="H281" s="2"/>
    </row>
    <row r="282" spans="3:8" x14ac:dyDescent="0.4">
      <c r="C282" s="2"/>
      <c r="H282" s="2"/>
    </row>
    <row r="283" spans="3:8" x14ac:dyDescent="0.4">
      <c r="C283" s="2"/>
      <c r="H283" s="2"/>
    </row>
    <row r="284" spans="3:8" x14ac:dyDescent="0.4">
      <c r="C284" s="2"/>
      <c r="H284" s="2"/>
    </row>
    <row r="285" spans="3:8" x14ac:dyDescent="0.4">
      <c r="C285" s="2"/>
      <c r="H285" s="2"/>
    </row>
    <row r="286" spans="3:8" x14ac:dyDescent="0.4">
      <c r="C286" s="2"/>
      <c r="H286" s="2"/>
    </row>
    <row r="287" spans="3:8" x14ac:dyDescent="0.4">
      <c r="C287" s="2"/>
      <c r="H287" s="2"/>
    </row>
    <row r="288" spans="3:8" x14ac:dyDescent="0.4">
      <c r="C288" s="2"/>
      <c r="H288" s="2"/>
    </row>
    <row r="289" spans="3:8" x14ac:dyDescent="0.4">
      <c r="C289" s="2"/>
      <c r="H289" s="2"/>
    </row>
    <row r="290" spans="3:8" x14ac:dyDescent="0.4">
      <c r="C290" s="2"/>
      <c r="H290" s="2"/>
    </row>
    <row r="291" spans="3:8" x14ac:dyDescent="0.4">
      <c r="C291" s="2"/>
      <c r="H291" s="2"/>
    </row>
    <row r="292" spans="3:8" x14ac:dyDescent="0.4">
      <c r="C292" s="2"/>
      <c r="H292" s="2"/>
    </row>
    <row r="293" spans="3:8" x14ac:dyDescent="0.4">
      <c r="C293" s="2"/>
      <c r="H293" s="2"/>
    </row>
    <row r="294" spans="3:8" x14ac:dyDescent="0.4">
      <c r="C294" s="2"/>
      <c r="H294" s="2"/>
    </row>
    <row r="295" spans="3:8" x14ac:dyDescent="0.4">
      <c r="C295" s="2"/>
      <c r="H295" s="2"/>
    </row>
  </sheetData>
  <mergeCells count="2">
    <mergeCell ref="B35:E35"/>
    <mergeCell ref="B36:E3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4BB7-37BA-4E42-8CBC-48CDDD5EB8D6}">
  <sheetPr>
    <tabColor theme="8" tint="0.79998168889431442"/>
  </sheetPr>
  <dimension ref="B1:M296"/>
  <sheetViews>
    <sheetView workbookViewId="0">
      <selection activeCell="O14" sqref="O14"/>
    </sheetView>
  </sheetViews>
  <sheetFormatPr defaultRowHeight="18.75" x14ac:dyDescent="0.4"/>
  <cols>
    <col min="2" max="2" width="25.625" customWidth="1"/>
    <col min="5" max="5" width="11.875" customWidth="1"/>
    <col min="6" max="6" width="11.25" customWidth="1"/>
    <col min="8" max="8" width="25.625" customWidth="1"/>
    <col min="11" max="11" width="16.75" style="1" customWidth="1"/>
    <col min="12" max="12" width="11.875" customWidth="1"/>
    <col min="13" max="13" width="11.25" customWidth="1"/>
  </cols>
  <sheetData>
    <row r="1" spans="2:13" x14ac:dyDescent="0.4">
      <c r="C1" s="77"/>
      <c r="D1" s="77"/>
    </row>
    <row r="2" spans="2:13" ht="19.5" thickBot="1" x14ac:dyDescent="0.45">
      <c r="C2" s="78"/>
      <c r="D2" s="78"/>
    </row>
    <row r="3" spans="2:13" x14ac:dyDescent="0.4">
      <c r="B3" s="4"/>
      <c r="C3" s="5" t="s">
        <v>4</v>
      </c>
      <c r="D3" s="5" t="s">
        <v>10</v>
      </c>
      <c r="E3" s="13" t="s">
        <v>25</v>
      </c>
      <c r="F3" s="22" t="s">
        <v>33</v>
      </c>
      <c r="H3" s="4"/>
      <c r="I3" s="5" t="s">
        <v>4</v>
      </c>
      <c r="J3" s="5" t="s">
        <v>10</v>
      </c>
      <c r="K3" s="5" t="s">
        <v>32</v>
      </c>
      <c r="L3" s="13" t="s">
        <v>25</v>
      </c>
      <c r="M3" s="22" t="s">
        <v>33</v>
      </c>
    </row>
    <row r="4" spans="2:13" x14ac:dyDescent="0.4">
      <c r="B4" s="6" t="s">
        <v>0</v>
      </c>
      <c r="C4" s="3">
        <v>9.81</v>
      </c>
      <c r="D4" s="9"/>
      <c r="E4" s="14">
        <v>9.81</v>
      </c>
      <c r="F4" s="23"/>
      <c r="H4" s="6" t="s">
        <v>0</v>
      </c>
      <c r="I4" s="3">
        <v>10.669</v>
      </c>
      <c r="J4" s="9"/>
      <c r="K4" s="11"/>
      <c r="L4" s="14">
        <v>10.669</v>
      </c>
      <c r="M4" s="23"/>
    </row>
    <row r="5" spans="2:13" x14ac:dyDescent="0.4">
      <c r="B5" s="6" t="s">
        <v>1</v>
      </c>
      <c r="C5" s="3">
        <v>9.8550000000000004</v>
      </c>
      <c r="D5" s="9">
        <v>10</v>
      </c>
      <c r="E5" s="14">
        <f>$E$4+(D5*$I$11)</f>
        <v>9.8510000000000009</v>
      </c>
      <c r="F5" s="27">
        <f t="shared" ref="F5:F34" si="0">E5-C5</f>
        <v>-3.9999999999995595E-3</v>
      </c>
      <c r="H5" s="6" t="s">
        <v>1</v>
      </c>
      <c r="I5" s="3">
        <v>10.677</v>
      </c>
      <c r="J5" s="9">
        <v>10</v>
      </c>
      <c r="K5" s="11">
        <f>(I5-I4)/J5</f>
        <v>7.9999999999991189E-4</v>
      </c>
      <c r="L5" s="14">
        <v>10.691000000000001</v>
      </c>
      <c r="M5" s="23"/>
    </row>
    <row r="6" spans="2:13" x14ac:dyDescent="0.4">
      <c r="B6" s="6" t="s">
        <v>2</v>
      </c>
      <c r="C6" s="3">
        <v>9.9009999999999998</v>
      </c>
      <c r="D6" s="9">
        <v>20</v>
      </c>
      <c r="E6" s="14">
        <f t="shared" ref="E6:E11" si="1">$E$4+(D6*$I$11)</f>
        <v>9.8920000000000012</v>
      </c>
      <c r="F6" s="27">
        <f t="shared" si="0"/>
        <v>-8.9999999999985647E-3</v>
      </c>
      <c r="H6" s="6" t="s">
        <v>41</v>
      </c>
      <c r="I6" s="3">
        <v>10.702</v>
      </c>
      <c r="J6" s="9">
        <v>5.0999999999999996</v>
      </c>
      <c r="K6" s="11">
        <f t="shared" ref="K6:K8" si="2">(I6-I5)/J6</f>
        <v>4.9019607843137957E-3</v>
      </c>
      <c r="L6" s="14">
        <v>10.702</v>
      </c>
      <c r="M6" s="23"/>
    </row>
    <row r="7" spans="2:13" x14ac:dyDescent="0.4">
      <c r="B7" s="6" t="s">
        <v>3</v>
      </c>
      <c r="C7" s="3">
        <v>9.9350000000000005</v>
      </c>
      <c r="D7" s="9">
        <v>30</v>
      </c>
      <c r="E7" s="14">
        <f t="shared" si="1"/>
        <v>9.9329999999999998</v>
      </c>
      <c r="F7" s="27">
        <f t="shared" si="0"/>
        <v>-2.0000000000006679E-3</v>
      </c>
      <c r="H7" s="6" t="s">
        <v>2</v>
      </c>
      <c r="I7" s="3">
        <v>10.669</v>
      </c>
      <c r="J7" s="9">
        <v>4.9000000000000004</v>
      </c>
      <c r="K7" s="11">
        <f t="shared" si="2"/>
        <v>-6.7346938775509129E-3</v>
      </c>
      <c r="L7" s="14">
        <v>10.679</v>
      </c>
      <c r="M7" s="23"/>
    </row>
    <row r="8" spans="2:13" ht="19.5" thickBot="1" x14ac:dyDescent="0.45">
      <c r="B8" s="16" t="s">
        <v>34</v>
      </c>
      <c r="C8" s="3">
        <v>9.9450000000000003</v>
      </c>
      <c r="D8" s="9">
        <v>35.5</v>
      </c>
      <c r="E8" s="14">
        <f t="shared" si="1"/>
        <v>9.9555500000000006</v>
      </c>
      <c r="F8" s="27">
        <f t="shared" si="0"/>
        <v>1.0550000000000281E-2</v>
      </c>
      <c r="H8" s="24" t="s">
        <v>42</v>
      </c>
      <c r="I8" s="7">
        <v>10.643000000000001</v>
      </c>
      <c r="J8" s="10">
        <v>7.2</v>
      </c>
      <c r="K8" s="12">
        <f t="shared" si="2"/>
        <v>-3.6111111111110832E-3</v>
      </c>
      <c r="L8" s="25">
        <v>10.643000000000001</v>
      </c>
      <c r="M8" s="26"/>
    </row>
    <row r="9" spans="2:13" x14ac:dyDescent="0.4">
      <c r="B9" s="6" t="s">
        <v>5</v>
      </c>
      <c r="C9" s="3">
        <v>9.9469999999999992</v>
      </c>
      <c r="D9" s="9">
        <v>40</v>
      </c>
      <c r="E9" s="14">
        <f t="shared" si="1"/>
        <v>9.9740000000000002</v>
      </c>
      <c r="F9" s="27">
        <f t="shared" si="0"/>
        <v>2.7000000000001023E-2</v>
      </c>
      <c r="I9" s="32"/>
      <c r="K9" s="17"/>
      <c r="L9" s="18"/>
      <c r="M9" s="19"/>
    </row>
    <row r="10" spans="2:13" ht="18.75" customHeight="1" x14ac:dyDescent="0.4">
      <c r="B10" s="6" t="s">
        <v>6</v>
      </c>
      <c r="C10" s="3">
        <v>9.9870000000000001</v>
      </c>
      <c r="D10" s="9">
        <v>50</v>
      </c>
      <c r="E10" s="14">
        <f t="shared" si="1"/>
        <v>10.015000000000001</v>
      </c>
      <c r="F10" s="27">
        <f t="shared" si="0"/>
        <v>2.8000000000000469E-2</v>
      </c>
      <c r="H10" s="43"/>
      <c r="I10" s="53"/>
      <c r="K10" s="17"/>
      <c r="L10" s="18"/>
      <c r="M10" s="19"/>
    </row>
    <row r="11" spans="2:13" x14ac:dyDescent="0.4">
      <c r="B11" s="6" t="s">
        <v>7</v>
      </c>
      <c r="C11" s="3">
        <v>10.026</v>
      </c>
      <c r="D11" s="9">
        <v>60</v>
      </c>
      <c r="E11" s="14">
        <f t="shared" si="1"/>
        <v>10.056000000000001</v>
      </c>
      <c r="F11" s="27">
        <f t="shared" si="0"/>
        <v>3.0000000000001137E-2</v>
      </c>
      <c r="H11" s="43" t="s">
        <v>46</v>
      </c>
      <c r="I11" s="53">
        <v>4.1000000000000003E-3</v>
      </c>
      <c r="K11" s="17"/>
      <c r="L11" s="18"/>
      <c r="M11" s="19"/>
    </row>
    <row r="12" spans="2:13" x14ac:dyDescent="0.4">
      <c r="B12" s="16" t="s">
        <v>35</v>
      </c>
      <c r="C12" s="3">
        <v>10.054</v>
      </c>
      <c r="D12" s="9"/>
      <c r="E12" s="14">
        <v>10.055</v>
      </c>
      <c r="F12" s="27">
        <f t="shared" si="0"/>
        <v>9.9999999999944578E-4</v>
      </c>
      <c r="H12" s="43" t="s">
        <v>47</v>
      </c>
      <c r="I12" s="53">
        <v>2.0999999999999999E-3</v>
      </c>
      <c r="K12" s="17"/>
      <c r="L12" s="18"/>
      <c r="M12" s="19"/>
    </row>
    <row r="13" spans="2:13" x14ac:dyDescent="0.4">
      <c r="B13" s="6" t="s">
        <v>8</v>
      </c>
      <c r="C13" s="3">
        <v>10.045999999999999</v>
      </c>
      <c r="D13" s="9"/>
      <c r="E13" s="14">
        <v>10.055</v>
      </c>
      <c r="F13" s="27">
        <f t="shared" si="0"/>
        <v>9.0000000000003411E-3</v>
      </c>
      <c r="H13" s="43" t="s">
        <v>48</v>
      </c>
      <c r="I13" s="53">
        <v>2.7000000000000001E-3</v>
      </c>
      <c r="K13" s="17"/>
      <c r="L13" s="20"/>
      <c r="M13" s="19"/>
    </row>
    <row r="14" spans="2:13" x14ac:dyDescent="0.4">
      <c r="B14" s="6" t="s">
        <v>9</v>
      </c>
      <c r="C14" s="3">
        <v>10.048999999999999</v>
      </c>
      <c r="D14" s="9"/>
      <c r="E14" s="14">
        <v>10.055</v>
      </c>
      <c r="F14" s="27">
        <f t="shared" si="0"/>
        <v>6.0000000000002274E-3</v>
      </c>
      <c r="H14" s="43" t="s">
        <v>49</v>
      </c>
      <c r="I14" s="53">
        <v>5.7000000000000002E-3</v>
      </c>
      <c r="K14" s="17"/>
      <c r="L14" s="18"/>
      <c r="M14" s="19"/>
    </row>
    <row r="15" spans="2:13" x14ac:dyDescent="0.4">
      <c r="B15" s="6" t="s">
        <v>31</v>
      </c>
      <c r="C15" s="3">
        <v>10.068</v>
      </c>
      <c r="D15" s="9">
        <v>10</v>
      </c>
      <c r="E15" s="14">
        <f>$E$14+(D15*$I$12)</f>
        <v>10.076000000000001</v>
      </c>
      <c r="F15" s="27">
        <f t="shared" si="0"/>
        <v>8.0000000000008953E-3</v>
      </c>
      <c r="H15" s="43" t="s">
        <v>50</v>
      </c>
      <c r="I15" s="53">
        <v>6.1999999999999998E-3</v>
      </c>
      <c r="K15" s="17"/>
      <c r="L15" s="18"/>
      <c r="M15" s="21"/>
    </row>
    <row r="16" spans="2:13" x14ac:dyDescent="0.4">
      <c r="B16" s="6" t="s">
        <v>11</v>
      </c>
      <c r="C16" s="3">
        <v>10.087999999999999</v>
      </c>
      <c r="D16" s="9">
        <v>20</v>
      </c>
      <c r="E16" s="14">
        <f t="shared" ref="E16:E18" si="3">$E$14+(D16*$I$12)</f>
        <v>10.097</v>
      </c>
      <c r="F16" s="27">
        <f t="shared" si="0"/>
        <v>9.0000000000003411E-3</v>
      </c>
      <c r="I16" s="2"/>
      <c r="K16" s="17"/>
      <c r="L16" s="18"/>
      <c r="M16" s="21"/>
    </row>
    <row r="17" spans="2:13" x14ac:dyDescent="0.4">
      <c r="B17" s="6" t="s">
        <v>12</v>
      </c>
      <c r="C17" s="3">
        <v>10.089</v>
      </c>
      <c r="D17" s="9">
        <v>30</v>
      </c>
      <c r="E17" s="14">
        <f t="shared" si="3"/>
        <v>10.118</v>
      </c>
      <c r="F17" s="27">
        <f t="shared" si="0"/>
        <v>2.8999999999999915E-2</v>
      </c>
      <c r="I17" s="2"/>
      <c r="K17" s="17"/>
      <c r="L17" s="18"/>
      <c r="M17" s="21"/>
    </row>
    <row r="18" spans="2:13" x14ac:dyDescent="0.4">
      <c r="B18" s="6" t="s">
        <v>13</v>
      </c>
      <c r="C18" s="3">
        <v>10.138</v>
      </c>
      <c r="D18" s="9">
        <v>40</v>
      </c>
      <c r="E18" s="14">
        <f t="shared" si="3"/>
        <v>10.138999999999999</v>
      </c>
      <c r="F18" s="27">
        <f t="shared" si="0"/>
        <v>9.9999999999944578E-4</v>
      </c>
      <c r="I18" s="2"/>
      <c r="K18" s="17"/>
      <c r="L18" s="18"/>
      <c r="M18" s="21"/>
    </row>
    <row r="19" spans="2:13" x14ac:dyDescent="0.4">
      <c r="B19" s="16" t="s">
        <v>36</v>
      </c>
      <c r="C19" s="3">
        <v>10.153</v>
      </c>
      <c r="D19" s="9">
        <v>4.2</v>
      </c>
      <c r="E19" s="14">
        <f>$E$18+(D19*$I$13)</f>
        <v>10.15034</v>
      </c>
      <c r="F19" s="27">
        <f t="shared" si="0"/>
        <v>-2.6600000000005508E-3</v>
      </c>
      <c r="I19" s="2"/>
      <c r="K19" s="17"/>
      <c r="L19" s="18"/>
      <c r="M19" s="21"/>
    </row>
    <row r="20" spans="2:13" x14ac:dyDescent="0.4">
      <c r="B20" s="6" t="s">
        <v>14</v>
      </c>
      <c r="C20" s="3">
        <v>10.154</v>
      </c>
      <c r="D20" s="9">
        <v>10</v>
      </c>
      <c r="E20" s="14">
        <f t="shared" ref="E20:E21" si="4">$E$18+(D20*$I$13)</f>
        <v>10.165999999999999</v>
      </c>
      <c r="F20" s="27">
        <f t="shared" si="0"/>
        <v>1.1999999999998678E-2</v>
      </c>
      <c r="I20" s="2"/>
      <c r="K20" s="17"/>
      <c r="L20" s="18"/>
      <c r="M20" s="21"/>
    </row>
    <row r="21" spans="2:13" x14ac:dyDescent="0.4">
      <c r="B21" s="6" t="s">
        <v>15</v>
      </c>
      <c r="C21" s="3">
        <v>10.192</v>
      </c>
      <c r="D21" s="9">
        <v>20</v>
      </c>
      <c r="E21" s="14">
        <f t="shared" si="4"/>
        <v>10.193</v>
      </c>
      <c r="F21" s="27">
        <f t="shared" si="0"/>
        <v>9.9999999999944578E-4</v>
      </c>
      <c r="I21" s="2"/>
      <c r="K21" s="17"/>
      <c r="L21" s="18"/>
      <c r="M21" s="21"/>
    </row>
    <row r="22" spans="2:13" x14ac:dyDescent="0.4">
      <c r="B22" s="6" t="s">
        <v>16</v>
      </c>
      <c r="C22" s="3">
        <v>10.228</v>
      </c>
      <c r="D22" s="9">
        <v>10</v>
      </c>
      <c r="E22" s="14">
        <f>$E$21+(D22*$I$14)</f>
        <v>10.25</v>
      </c>
      <c r="F22" s="27">
        <f t="shared" si="0"/>
        <v>2.2000000000000242E-2</v>
      </c>
      <c r="I22" s="2"/>
      <c r="K22" s="17"/>
      <c r="L22" s="18"/>
      <c r="M22" s="21"/>
    </row>
    <row r="23" spans="2:13" x14ac:dyDescent="0.4">
      <c r="B23" s="6" t="s">
        <v>17</v>
      </c>
      <c r="C23" s="3">
        <v>10.298999999999999</v>
      </c>
      <c r="D23" s="9">
        <v>20</v>
      </c>
      <c r="E23" s="14">
        <f t="shared" ref="E23:E24" si="5">$E$21+(D23*$I$14)</f>
        <v>10.307</v>
      </c>
      <c r="F23" s="27">
        <f t="shared" si="0"/>
        <v>8.0000000000008953E-3</v>
      </c>
      <c r="I23" s="2"/>
      <c r="K23" s="17"/>
      <c r="L23" s="18"/>
      <c r="M23" s="21"/>
    </row>
    <row r="24" spans="2:13" x14ac:dyDescent="0.4">
      <c r="B24" s="6" t="s">
        <v>18</v>
      </c>
      <c r="C24" s="3">
        <v>10.364000000000001</v>
      </c>
      <c r="D24" s="9">
        <v>30</v>
      </c>
      <c r="E24" s="14">
        <f t="shared" si="5"/>
        <v>10.363999999999999</v>
      </c>
      <c r="F24" s="27">
        <f t="shared" si="0"/>
        <v>0</v>
      </c>
      <c r="I24" s="2"/>
      <c r="K24" s="17"/>
      <c r="L24" s="18"/>
      <c r="M24" s="21"/>
    </row>
    <row r="25" spans="2:13" x14ac:dyDescent="0.4">
      <c r="B25" s="16" t="s">
        <v>37</v>
      </c>
      <c r="C25" s="3">
        <v>10.375999999999999</v>
      </c>
      <c r="D25" s="9">
        <v>2.4</v>
      </c>
      <c r="E25" s="14">
        <f>$E$24+(D25*$I$15)</f>
        <v>10.378879999999999</v>
      </c>
      <c r="F25" s="27">
        <f t="shared" si="0"/>
        <v>2.8799999999993275E-3</v>
      </c>
      <c r="I25" s="2"/>
      <c r="K25" s="17"/>
      <c r="L25" s="18"/>
      <c r="M25" s="21"/>
    </row>
    <row r="26" spans="2:13" x14ac:dyDescent="0.4">
      <c r="B26" s="6" t="s">
        <v>19</v>
      </c>
      <c r="C26" s="3">
        <v>10.414</v>
      </c>
      <c r="D26" s="9">
        <v>10</v>
      </c>
      <c r="E26" s="14">
        <f t="shared" ref="E26:E33" si="6">$E$24+(D26*$I$15)</f>
        <v>10.425999999999998</v>
      </c>
      <c r="F26" s="27">
        <f t="shared" si="0"/>
        <v>1.1999999999998678E-2</v>
      </c>
      <c r="I26" s="2"/>
      <c r="K26" s="17"/>
      <c r="L26" s="18"/>
      <c r="M26" s="21"/>
    </row>
    <row r="27" spans="2:13" x14ac:dyDescent="0.4">
      <c r="B27" s="6" t="s">
        <v>20</v>
      </c>
      <c r="C27" s="3">
        <v>10.465</v>
      </c>
      <c r="D27" s="9">
        <v>20</v>
      </c>
      <c r="E27" s="14">
        <f t="shared" si="6"/>
        <v>10.488</v>
      </c>
      <c r="F27" s="27">
        <f t="shared" si="0"/>
        <v>2.2999999999999687E-2</v>
      </c>
      <c r="I27" s="2"/>
      <c r="K27" s="17"/>
      <c r="L27" s="18"/>
      <c r="M27" s="21"/>
    </row>
    <row r="28" spans="2:13" x14ac:dyDescent="0.4">
      <c r="B28" s="6" t="s">
        <v>21</v>
      </c>
      <c r="C28" s="3">
        <v>10.544</v>
      </c>
      <c r="D28" s="9">
        <v>30</v>
      </c>
      <c r="E28" s="14">
        <f t="shared" si="6"/>
        <v>10.549999999999999</v>
      </c>
      <c r="F28" s="27">
        <f t="shared" si="0"/>
        <v>5.999999999998451E-3</v>
      </c>
      <c r="I28" s="2"/>
      <c r="K28" s="17"/>
      <c r="L28" s="18"/>
      <c r="M28" s="21"/>
    </row>
    <row r="29" spans="2:13" x14ac:dyDescent="0.4">
      <c r="B29" s="16" t="s">
        <v>38</v>
      </c>
      <c r="C29" s="3">
        <v>10.589</v>
      </c>
      <c r="D29" s="9">
        <v>34.799999999999997</v>
      </c>
      <c r="E29" s="14">
        <f t="shared" si="6"/>
        <v>10.579759999999998</v>
      </c>
      <c r="F29" s="27">
        <f t="shared" si="0"/>
        <v>-9.2400000000019133E-3</v>
      </c>
      <c r="I29" s="2"/>
      <c r="K29" s="17"/>
      <c r="L29" s="18"/>
      <c r="M29" s="21"/>
    </row>
    <row r="30" spans="2:13" x14ac:dyDescent="0.4">
      <c r="B30" s="6" t="s">
        <v>22</v>
      </c>
      <c r="C30" s="3">
        <v>10.598000000000001</v>
      </c>
      <c r="D30" s="9">
        <v>40</v>
      </c>
      <c r="E30" s="14">
        <f t="shared" si="6"/>
        <v>10.611999999999998</v>
      </c>
      <c r="F30" s="27">
        <f t="shared" si="0"/>
        <v>1.399999999999757E-2</v>
      </c>
      <c r="I30" s="2"/>
      <c r="K30" s="17"/>
      <c r="L30" s="18"/>
      <c r="M30" s="21"/>
    </row>
    <row r="31" spans="2:13" x14ac:dyDescent="0.4">
      <c r="B31" s="6" t="s">
        <v>23</v>
      </c>
      <c r="C31" s="3">
        <v>10.669</v>
      </c>
      <c r="D31" s="9">
        <v>50</v>
      </c>
      <c r="E31" s="14">
        <f t="shared" si="6"/>
        <v>10.673999999999999</v>
      </c>
      <c r="F31" s="27">
        <f t="shared" si="0"/>
        <v>4.9999999999990052E-3</v>
      </c>
      <c r="I31" s="2"/>
      <c r="K31" s="17"/>
      <c r="L31" s="18"/>
      <c r="M31" s="21"/>
    </row>
    <row r="32" spans="2:13" x14ac:dyDescent="0.4">
      <c r="B32" s="6" t="s">
        <v>39</v>
      </c>
      <c r="C32" s="3">
        <v>10.686</v>
      </c>
      <c r="D32" s="9">
        <v>54.2</v>
      </c>
      <c r="E32" s="14">
        <f t="shared" si="6"/>
        <v>10.70004</v>
      </c>
      <c r="F32" s="27">
        <f t="shared" si="0"/>
        <v>1.4039999999999608E-2</v>
      </c>
      <c r="I32" s="2"/>
      <c r="K32" s="17"/>
      <c r="L32" s="18"/>
      <c r="M32" s="21"/>
    </row>
    <row r="33" spans="2:13" x14ac:dyDescent="0.4">
      <c r="B33" s="6" t="s">
        <v>24</v>
      </c>
      <c r="C33" s="3">
        <v>10.734999999999999</v>
      </c>
      <c r="D33" s="9">
        <v>60</v>
      </c>
      <c r="E33" s="14">
        <f t="shared" si="6"/>
        <v>10.735999999999999</v>
      </c>
      <c r="F33" s="27">
        <f t="shared" si="0"/>
        <v>9.9999999999944578E-4</v>
      </c>
      <c r="I33" s="2"/>
      <c r="K33" s="17"/>
      <c r="L33" s="18"/>
      <c r="M33" s="21"/>
    </row>
    <row r="34" spans="2:13" ht="19.5" thickBot="1" x14ac:dyDescent="0.45">
      <c r="B34" s="24" t="s">
        <v>40</v>
      </c>
      <c r="C34" s="7">
        <v>10.693</v>
      </c>
      <c r="D34" s="10"/>
      <c r="E34" s="15">
        <v>10.693</v>
      </c>
      <c r="F34" s="27">
        <f t="shared" si="0"/>
        <v>0</v>
      </c>
      <c r="I34" s="2"/>
      <c r="K34" s="17"/>
      <c r="L34" s="20"/>
      <c r="M34" s="21"/>
    </row>
    <row r="35" spans="2:13" x14ac:dyDescent="0.4">
      <c r="C35" s="2"/>
      <c r="E35" s="28"/>
      <c r="I35" s="2"/>
    </row>
    <row r="36" spans="2:13" x14ac:dyDescent="0.4">
      <c r="B36" s="76"/>
      <c r="C36" s="76"/>
      <c r="D36" s="76"/>
      <c r="E36" s="79"/>
      <c r="F36" s="79"/>
      <c r="I36" s="2"/>
    </row>
    <row r="37" spans="2:13" x14ac:dyDescent="0.4">
      <c r="B37" s="76"/>
      <c r="C37" s="76"/>
      <c r="D37" s="76"/>
      <c r="E37" s="79"/>
      <c r="F37" s="79"/>
      <c r="I37" s="2"/>
    </row>
    <row r="38" spans="2:13" x14ac:dyDescent="0.4">
      <c r="C38" s="2"/>
      <c r="I38" s="2"/>
    </row>
    <row r="39" spans="2:13" x14ac:dyDescent="0.4">
      <c r="C39" s="2"/>
      <c r="I39" s="2"/>
    </row>
    <row r="40" spans="2:13" x14ac:dyDescent="0.4">
      <c r="C40" s="2"/>
      <c r="I40" s="2"/>
    </row>
    <row r="41" spans="2:13" x14ac:dyDescent="0.4">
      <c r="C41" s="2"/>
      <c r="I41" s="2"/>
    </row>
    <row r="42" spans="2:13" x14ac:dyDescent="0.4">
      <c r="C42" s="2"/>
      <c r="I42" s="2"/>
    </row>
    <row r="43" spans="2:13" x14ac:dyDescent="0.4">
      <c r="C43" s="2"/>
      <c r="I43" s="2"/>
    </row>
    <row r="44" spans="2:13" x14ac:dyDescent="0.4">
      <c r="C44" s="2"/>
      <c r="I44" s="2"/>
    </row>
    <row r="45" spans="2:13" x14ac:dyDescent="0.4">
      <c r="C45" s="2"/>
      <c r="I45" s="2"/>
    </row>
    <row r="46" spans="2:13" x14ac:dyDescent="0.4">
      <c r="C46" s="2"/>
      <c r="I46" s="2"/>
    </row>
    <row r="47" spans="2:13" x14ac:dyDescent="0.4">
      <c r="C47" s="2"/>
      <c r="I47" s="2"/>
    </row>
    <row r="48" spans="2:13" x14ac:dyDescent="0.4">
      <c r="C48" s="2"/>
      <c r="I48" s="2"/>
    </row>
    <row r="49" spans="3:9" x14ac:dyDescent="0.4">
      <c r="C49" s="2"/>
      <c r="I49" s="2"/>
    </row>
    <row r="50" spans="3:9" x14ac:dyDescent="0.4">
      <c r="C50" s="2"/>
      <c r="I50" s="2"/>
    </row>
    <row r="51" spans="3:9" x14ac:dyDescent="0.4">
      <c r="C51" s="2"/>
      <c r="I51" s="2"/>
    </row>
    <row r="52" spans="3:9" x14ac:dyDescent="0.4">
      <c r="C52" s="2"/>
      <c r="I52" s="2"/>
    </row>
    <row r="53" spans="3:9" x14ac:dyDescent="0.4">
      <c r="C53" s="2"/>
      <c r="I53" s="2"/>
    </row>
    <row r="54" spans="3:9" x14ac:dyDescent="0.4">
      <c r="C54" s="2"/>
      <c r="I54" s="2"/>
    </row>
    <row r="55" spans="3:9" x14ac:dyDescent="0.4">
      <c r="C55" s="2"/>
      <c r="I55" s="2"/>
    </row>
    <row r="56" spans="3:9" x14ac:dyDescent="0.4">
      <c r="C56" s="2"/>
      <c r="I56" s="2"/>
    </row>
    <row r="57" spans="3:9" x14ac:dyDescent="0.4">
      <c r="C57" s="2"/>
      <c r="I57" s="2"/>
    </row>
    <row r="58" spans="3:9" x14ac:dyDescent="0.4">
      <c r="C58" s="2"/>
      <c r="I58" s="2"/>
    </row>
    <row r="59" spans="3:9" x14ac:dyDescent="0.4">
      <c r="C59" s="2"/>
      <c r="I59" s="2"/>
    </row>
    <row r="60" spans="3:9" x14ac:dyDescent="0.4">
      <c r="C60" s="2"/>
      <c r="I60" s="2"/>
    </row>
    <row r="61" spans="3:9" x14ac:dyDescent="0.4">
      <c r="C61" s="2"/>
      <c r="I61" s="2"/>
    </row>
    <row r="62" spans="3:9" x14ac:dyDescent="0.4">
      <c r="C62" s="2"/>
      <c r="I62" s="2"/>
    </row>
    <row r="63" spans="3:9" x14ac:dyDescent="0.4">
      <c r="C63" s="2"/>
      <c r="I63" s="2"/>
    </row>
    <row r="64" spans="3:9" x14ac:dyDescent="0.4">
      <c r="C64" s="2"/>
      <c r="I64" s="2"/>
    </row>
    <row r="65" spans="3:9" x14ac:dyDescent="0.4">
      <c r="C65" s="2"/>
      <c r="I65" s="2"/>
    </row>
    <row r="66" spans="3:9" x14ac:dyDescent="0.4">
      <c r="C66" s="2"/>
      <c r="I66" s="2"/>
    </row>
    <row r="67" spans="3:9" x14ac:dyDescent="0.4">
      <c r="C67" s="2"/>
      <c r="I67" s="2"/>
    </row>
    <row r="68" spans="3:9" x14ac:dyDescent="0.4">
      <c r="C68" s="2"/>
      <c r="I68" s="2"/>
    </row>
    <row r="69" spans="3:9" x14ac:dyDescent="0.4">
      <c r="C69" s="2"/>
      <c r="I69" s="2"/>
    </row>
    <row r="70" spans="3:9" x14ac:dyDescent="0.4">
      <c r="C70" s="2"/>
      <c r="I70" s="2"/>
    </row>
    <row r="71" spans="3:9" x14ac:dyDescent="0.4">
      <c r="C71" s="2"/>
      <c r="I71" s="2"/>
    </row>
    <row r="72" spans="3:9" x14ac:dyDescent="0.4">
      <c r="C72" s="2"/>
      <c r="I72" s="2"/>
    </row>
    <row r="73" spans="3:9" x14ac:dyDescent="0.4">
      <c r="C73" s="2"/>
      <c r="I73" s="2"/>
    </row>
    <row r="74" spans="3:9" x14ac:dyDescent="0.4">
      <c r="C74" s="2"/>
      <c r="I74" s="2"/>
    </row>
    <row r="75" spans="3:9" x14ac:dyDescent="0.4">
      <c r="C75" s="2"/>
      <c r="I75" s="2"/>
    </row>
    <row r="76" spans="3:9" x14ac:dyDescent="0.4">
      <c r="C76" s="2"/>
      <c r="I76" s="2"/>
    </row>
    <row r="77" spans="3:9" x14ac:dyDescent="0.4">
      <c r="C77" s="2"/>
      <c r="I77" s="2"/>
    </row>
    <row r="78" spans="3:9" x14ac:dyDescent="0.4">
      <c r="C78" s="2"/>
      <c r="I78" s="2"/>
    </row>
    <row r="79" spans="3:9" x14ac:dyDescent="0.4">
      <c r="C79" s="2"/>
      <c r="I79" s="2"/>
    </row>
    <row r="80" spans="3:9" x14ac:dyDescent="0.4">
      <c r="C80" s="2"/>
      <c r="I80" s="2"/>
    </row>
    <row r="81" spans="3:9" x14ac:dyDescent="0.4">
      <c r="C81" s="2"/>
      <c r="I81" s="2"/>
    </row>
    <row r="82" spans="3:9" x14ac:dyDescent="0.4">
      <c r="C82" s="2"/>
      <c r="I82" s="2"/>
    </row>
    <row r="83" spans="3:9" x14ac:dyDescent="0.4">
      <c r="C83" s="2"/>
      <c r="I83" s="2"/>
    </row>
    <row r="84" spans="3:9" x14ac:dyDescent="0.4">
      <c r="C84" s="2"/>
      <c r="I84" s="2"/>
    </row>
    <row r="85" spans="3:9" x14ac:dyDescent="0.4">
      <c r="C85" s="2"/>
      <c r="I85" s="2"/>
    </row>
    <row r="86" spans="3:9" x14ac:dyDescent="0.4">
      <c r="C86" s="2"/>
      <c r="I86" s="2"/>
    </row>
    <row r="87" spans="3:9" x14ac:dyDescent="0.4">
      <c r="C87" s="2"/>
      <c r="I87" s="2"/>
    </row>
    <row r="88" spans="3:9" x14ac:dyDescent="0.4">
      <c r="C88" s="2"/>
      <c r="I88" s="2"/>
    </row>
    <row r="89" spans="3:9" x14ac:dyDescent="0.4">
      <c r="C89" s="2"/>
      <c r="I89" s="2"/>
    </row>
    <row r="90" spans="3:9" x14ac:dyDescent="0.4">
      <c r="C90" s="2"/>
      <c r="I90" s="2"/>
    </row>
    <row r="91" spans="3:9" x14ac:dyDescent="0.4">
      <c r="C91" s="2"/>
      <c r="I91" s="2"/>
    </row>
    <row r="92" spans="3:9" x14ac:dyDescent="0.4">
      <c r="C92" s="2"/>
      <c r="I92" s="2"/>
    </row>
    <row r="93" spans="3:9" x14ac:dyDescent="0.4">
      <c r="C93" s="2"/>
      <c r="I93" s="2"/>
    </row>
    <row r="94" spans="3:9" x14ac:dyDescent="0.4">
      <c r="C94" s="2"/>
      <c r="I94" s="2"/>
    </row>
    <row r="95" spans="3:9" x14ac:dyDescent="0.4">
      <c r="C95" s="2"/>
      <c r="I95" s="2"/>
    </row>
    <row r="96" spans="3:9" x14ac:dyDescent="0.4">
      <c r="C96" s="2"/>
      <c r="I96" s="2"/>
    </row>
    <row r="97" spans="3:9" x14ac:dyDescent="0.4">
      <c r="C97" s="2"/>
      <c r="I97" s="2"/>
    </row>
    <row r="98" spans="3:9" x14ac:dyDescent="0.4">
      <c r="C98" s="2"/>
      <c r="I98" s="2"/>
    </row>
    <row r="99" spans="3:9" x14ac:dyDescent="0.4">
      <c r="C99" s="2"/>
      <c r="I99" s="2"/>
    </row>
    <row r="100" spans="3:9" x14ac:dyDescent="0.4">
      <c r="C100" s="2"/>
      <c r="I100" s="2"/>
    </row>
    <row r="101" spans="3:9" x14ac:dyDescent="0.4">
      <c r="C101" s="2"/>
      <c r="I101" s="2"/>
    </row>
    <row r="102" spans="3:9" x14ac:dyDescent="0.4">
      <c r="C102" s="2"/>
      <c r="I102" s="2"/>
    </row>
    <row r="103" spans="3:9" x14ac:dyDescent="0.4">
      <c r="C103" s="2"/>
      <c r="I103" s="2"/>
    </row>
    <row r="104" spans="3:9" x14ac:dyDescent="0.4">
      <c r="C104" s="2"/>
      <c r="I104" s="2"/>
    </row>
    <row r="105" spans="3:9" x14ac:dyDescent="0.4">
      <c r="C105" s="2"/>
      <c r="I105" s="2"/>
    </row>
    <row r="106" spans="3:9" x14ac:dyDescent="0.4">
      <c r="C106" s="2"/>
      <c r="I106" s="2"/>
    </row>
    <row r="107" spans="3:9" x14ac:dyDescent="0.4">
      <c r="C107" s="2"/>
      <c r="I107" s="2"/>
    </row>
    <row r="108" spans="3:9" x14ac:dyDescent="0.4">
      <c r="C108" s="2"/>
      <c r="I108" s="2"/>
    </row>
    <row r="109" spans="3:9" x14ac:dyDescent="0.4">
      <c r="C109" s="2"/>
      <c r="I109" s="2"/>
    </row>
    <row r="110" spans="3:9" x14ac:dyDescent="0.4">
      <c r="C110" s="2"/>
      <c r="I110" s="2"/>
    </row>
    <row r="111" spans="3:9" x14ac:dyDescent="0.4">
      <c r="C111" s="2"/>
      <c r="I111" s="2"/>
    </row>
    <row r="112" spans="3:9" x14ac:dyDescent="0.4">
      <c r="C112" s="2"/>
      <c r="I112" s="2"/>
    </row>
    <row r="113" spans="3:9" x14ac:dyDescent="0.4">
      <c r="C113" s="2"/>
      <c r="I113" s="2"/>
    </row>
    <row r="114" spans="3:9" x14ac:dyDescent="0.4">
      <c r="C114" s="2"/>
      <c r="I114" s="2"/>
    </row>
    <row r="115" spans="3:9" x14ac:dyDescent="0.4">
      <c r="C115" s="2"/>
      <c r="I115" s="2"/>
    </row>
    <row r="116" spans="3:9" x14ac:dyDescent="0.4">
      <c r="C116" s="2"/>
      <c r="I116" s="2"/>
    </row>
    <row r="117" spans="3:9" x14ac:dyDescent="0.4">
      <c r="C117" s="2"/>
      <c r="I117" s="2"/>
    </row>
    <row r="118" spans="3:9" x14ac:dyDescent="0.4">
      <c r="C118" s="2"/>
      <c r="I118" s="2"/>
    </row>
    <row r="119" spans="3:9" x14ac:dyDescent="0.4">
      <c r="C119" s="2"/>
      <c r="I119" s="2"/>
    </row>
    <row r="120" spans="3:9" x14ac:dyDescent="0.4">
      <c r="C120" s="2"/>
      <c r="I120" s="2"/>
    </row>
    <row r="121" spans="3:9" x14ac:dyDescent="0.4">
      <c r="C121" s="2"/>
      <c r="I121" s="2"/>
    </row>
    <row r="122" spans="3:9" x14ac:dyDescent="0.4">
      <c r="C122" s="2"/>
      <c r="I122" s="2"/>
    </row>
    <row r="123" spans="3:9" x14ac:dyDescent="0.4">
      <c r="C123" s="2"/>
      <c r="I123" s="2"/>
    </row>
    <row r="124" spans="3:9" x14ac:dyDescent="0.4">
      <c r="C124" s="2"/>
      <c r="I124" s="2"/>
    </row>
    <row r="125" spans="3:9" x14ac:dyDescent="0.4">
      <c r="C125" s="2"/>
      <c r="I125" s="2"/>
    </row>
    <row r="126" spans="3:9" x14ac:dyDescent="0.4">
      <c r="C126" s="2"/>
      <c r="I126" s="2"/>
    </row>
    <row r="127" spans="3:9" x14ac:dyDescent="0.4">
      <c r="C127" s="2"/>
      <c r="I127" s="2"/>
    </row>
    <row r="128" spans="3:9" x14ac:dyDescent="0.4">
      <c r="C128" s="2"/>
      <c r="I128" s="2"/>
    </row>
    <row r="129" spans="3:9" x14ac:dyDescent="0.4">
      <c r="C129" s="2"/>
      <c r="I129" s="2"/>
    </row>
    <row r="130" spans="3:9" x14ac:dyDescent="0.4">
      <c r="C130" s="2"/>
      <c r="I130" s="2"/>
    </row>
    <row r="131" spans="3:9" x14ac:dyDescent="0.4">
      <c r="C131" s="2"/>
      <c r="I131" s="2"/>
    </row>
    <row r="132" spans="3:9" x14ac:dyDescent="0.4">
      <c r="C132" s="2"/>
      <c r="I132" s="2"/>
    </row>
    <row r="133" spans="3:9" x14ac:dyDescent="0.4">
      <c r="C133" s="2"/>
      <c r="I133" s="2"/>
    </row>
    <row r="134" spans="3:9" x14ac:dyDescent="0.4">
      <c r="C134" s="2"/>
      <c r="I134" s="2"/>
    </row>
    <row r="135" spans="3:9" x14ac:dyDescent="0.4">
      <c r="C135" s="2"/>
      <c r="I135" s="2"/>
    </row>
    <row r="136" spans="3:9" x14ac:dyDescent="0.4">
      <c r="C136" s="2"/>
      <c r="I136" s="2"/>
    </row>
    <row r="137" spans="3:9" x14ac:dyDescent="0.4">
      <c r="C137" s="2"/>
      <c r="I137" s="2"/>
    </row>
    <row r="138" spans="3:9" x14ac:dyDescent="0.4">
      <c r="C138" s="2"/>
      <c r="I138" s="2"/>
    </row>
    <row r="139" spans="3:9" x14ac:dyDescent="0.4">
      <c r="C139" s="2"/>
      <c r="I139" s="2"/>
    </row>
    <row r="140" spans="3:9" x14ac:dyDescent="0.4">
      <c r="C140" s="2"/>
      <c r="I140" s="2"/>
    </row>
    <row r="141" spans="3:9" x14ac:dyDescent="0.4">
      <c r="C141" s="2"/>
      <c r="I141" s="2"/>
    </row>
    <row r="142" spans="3:9" x14ac:dyDescent="0.4">
      <c r="C142" s="2"/>
      <c r="I142" s="2"/>
    </row>
    <row r="143" spans="3:9" x14ac:dyDescent="0.4">
      <c r="C143" s="2"/>
      <c r="I143" s="2"/>
    </row>
    <row r="144" spans="3:9" x14ac:dyDescent="0.4">
      <c r="C144" s="2"/>
      <c r="I144" s="2"/>
    </row>
    <row r="145" spans="3:9" x14ac:dyDescent="0.4">
      <c r="C145" s="2"/>
      <c r="I145" s="2"/>
    </row>
    <row r="146" spans="3:9" x14ac:dyDescent="0.4">
      <c r="C146" s="2"/>
      <c r="I146" s="2"/>
    </row>
    <row r="147" spans="3:9" x14ac:dyDescent="0.4">
      <c r="C147" s="2"/>
      <c r="I147" s="2"/>
    </row>
    <row r="148" spans="3:9" x14ac:dyDescent="0.4">
      <c r="C148" s="2"/>
      <c r="I148" s="2"/>
    </row>
    <row r="149" spans="3:9" x14ac:dyDescent="0.4">
      <c r="C149" s="2"/>
      <c r="I149" s="2"/>
    </row>
    <row r="150" spans="3:9" x14ac:dyDescent="0.4">
      <c r="C150" s="2"/>
      <c r="I150" s="2"/>
    </row>
    <row r="151" spans="3:9" x14ac:dyDescent="0.4">
      <c r="C151" s="2"/>
      <c r="I151" s="2"/>
    </row>
    <row r="152" spans="3:9" x14ac:dyDescent="0.4">
      <c r="C152" s="2"/>
      <c r="I152" s="2"/>
    </row>
    <row r="153" spans="3:9" x14ac:dyDescent="0.4">
      <c r="C153" s="2"/>
      <c r="I153" s="2"/>
    </row>
    <row r="154" spans="3:9" x14ac:dyDescent="0.4">
      <c r="C154" s="2"/>
      <c r="I154" s="2"/>
    </row>
    <row r="155" spans="3:9" x14ac:dyDescent="0.4">
      <c r="C155" s="2"/>
      <c r="I155" s="2"/>
    </row>
    <row r="156" spans="3:9" x14ac:dyDescent="0.4">
      <c r="C156" s="2"/>
      <c r="I156" s="2"/>
    </row>
    <row r="157" spans="3:9" x14ac:dyDescent="0.4">
      <c r="C157" s="2"/>
      <c r="I157" s="2"/>
    </row>
    <row r="158" spans="3:9" x14ac:dyDescent="0.4">
      <c r="C158" s="2"/>
      <c r="I158" s="2"/>
    </row>
    <row r="159" spans="3:9" x14ac:dyDescent="0.4">
      <c r="C159" s="2"/>
      <c r="I159" s="2"/>
    </row>
    <row r="160" spans="3:9" x14ac:dyDescent="0.4">
      <c r="C160" s="2"/>
      <c r="I160" s="2"/>
    </row>
    <row r="161" spans="3:9" x14ac:dyDescent="0.4">
      <c r="C161" s="2"/>
      <c r="I161" s="2"/>
    </row>
    <row r="162" spans="3:9" x14ac:dyDescent="0.4">
      <c r="C162" s="2"/>
      <c r="I162" s="2"/>
    </row>
    <row r="163" spans="3:9" x14ac:dyDescent="0.4">
      <c r="C163" s="2"/>
      <c r="I163" s="2"/>
    </row>
    <row r="164" spans="3:9" x14ac:dyDescent="0.4">
      <c r="C164" s="2"/>
      <c r="I164" s="2"/>
    </row>
    <row r="165" spans="3:9" x14ac:dyDescent="0.4">
      <c r="C165" s="2"/>
      <c r="I165" s="2"/>
    </row>
    <row r="166" spans="3:9" x14ac:dyDescent="0.4">
      <c r="C166" s="2"/>
      <c r="I166" s="2"/>
    </row>
    <row r="167" spans="3:9" x14ac:dyDescent="0.4">
      <c r="C167" s="2"/>
      <c r="I167" s="2"/>
    </row>
    <row r="168" spans="3:9" x14ac:dyDescent="0.4">
      <c r="C168" s="2"/>
      <c r="I168" s="2"/>
    </row>
    <row r="169" spans="3:9" x14ac:dyDescent="0.4">
      <c r="C169" s="2"/>
      <c r="I169" s="2"/>
    </row>
    <row r="170" spans="3:9" x14ac:dyDescent="0.4">
      <c r="C170" s="2"/>
      <c r="I170" s="2"/>
    </row>
    <row r="171" spans="3:9" x14ac:dyDescent="0.4">
      <c r="C171" s="2"/>
      <c r="I171" s="2"/>
    </row>
    <row r="172" spans="3:9" x14ac:dyDescent="0.4">
      <c r="C172" s="2"/>
      <c r="I172" s="2"/>
    </row>
    <row r="173" spans="3:9" x14ac:dyDescent="0.4">
      <c r="C173" s="2"/>
      <c r="I173" s="2"/>
    </row>
    <row r="174" spans="3:9" x14ac:dyDescent="0.4">
      <c r="C174" s="2"/>
      <c r="I174" s="2"/>
    </row>
    <row r="175" spans="3:9" x14ac:dyDescent="0.4">
      <c r="C175" s="2"/>
      <c r="I175" s="2"/>
    </row>
    <row r="176" spans="3:9" x14ac:dyDescent="0.4">
      <c r="C176" s="2"/>
      <c r="I176" s="2"/>
    </row>
    <row r="177" spans="3:9" x14ac:dyDescent="0.4">
      <c r="C177" s="2"/>
      <c r="I177" s="2"/>
    </row>
    <row r="178" spans="3:9" x14ac:dyDescent="0.4">
      <c r="C178" s="2"/>
      <c r="I178" s="2"/>
    </row>
    <row r="179" spans="3:9" x14ac:dyDescent="0.4">
      <c r="C179" s="2"/>
      <c r="I179" s="2"/>
    </row>
    <row r="180" spans="3:9" x14ac:dyDescent="0.4">
      <c r="C180" s="2"/>
      <c r="I180" s="2"/>
    </row>
    <row r="181" spans="3:9" x14ac:dyDescent="0.4">
      <c r="C181" s="2"/>
      <c r="I181" s="2"/>
    </row>
    <row r="182" spans="3:9" x14ac:dyDescent="0.4">
      <c r="C182" s="2"/>
      <c r="I182" s="2"/>
    </row>
    <row r="183" spans="3:9" x14ac:dyDescent="0.4">
      <c r="C183" s="2"/>
      <c r="I183" s="2"/>
    </row>
    <row r="184" spans="3:9" x14ac:dyDescent="0.4">
      <c r="C184" s="2"/>
      <c r="I184" s="2"/>
    </row>
    <row r="185" spans="3:9" x14ac:dyDescent="0.4">
      <c r="C185" s="2"/>
      <c r="I185" s="2"/>
    </row>
    <row r="186" spans="3:9" x14ac:dyDescent="0.4">
      <c r="C186" s="2"/>
      <c r="I186" s="2"/>
    </row>
    <row r="187" spans="3:9" x14ac:dyDescent="0.4">
      <c r="C187" s="2"/>
      <c r="I187" s="2"/>
    </row>
    <row r="188" spans="3:9" x14ac:dyDescent="0.4">
      <c r="C188" s="2"/>
      <c r="I188" s="2"/>
    </row>
    <row r="189" spans="3:9" x14ac:dyDescent="0.4">
      <c r="C189" s="2"/>
      <c r="I189" s="2"/>
    </row>
    <row r="190" spans="3:9" x14ac:dyDescent="0.4">
      <c r="C190" s="2"/>
      <c r="I190" s="2"/>
    </row>
    <row r="191" spans="3:9" x14ac:dyDescent="0.4">
      <c r="C191" s="2"/>
      <c r="I191" s="2"/>
    </row>
    <row r="192" spans="3:9" x14ac:dyDescent="0.4">
      <c r="C192" s="2"/>
      <c r="I192" s="2"/>
    </row>
    <row r="193" spans="3:9" x14ac:dyDescent="0.4">
      <c r="C193" s="2"/>
      <c r="I193" s="2"/>
    </row>
    <row r="194" spans="3:9" x14ac:dyDescent="0.4">
      <c r="C194" s="2"/>
      <c r="I194" s="2"/>
    </row>
    <row r="195" spans="3:9" x14ac:dyDescent="0.4">
      <c r="C195" s="2"/>
      <c r="I195" s="2"/>
    </row>
    <row r="196" spans="3:9" x14ac:dyDescent="0.4">
      <c r="C196" s="2"/>
      <c r="I196" s="2"/>
    </row>
    <row r="197" spans="3:9" x14ac:dyDescent="0.4">
      <c r="C197" s="2"/>
      <c r="I197" s="2"/>
    </row>
    <row r="198" spans="3:9" x14ac:dyDescent="0.4">
      <c r="C198" s="2"/>
      <c r="I198" s="2"/>
    </row>
    <row r="199" spans="3:9" x14ac:dyDescent="0.4">
      <c r="C199" s="2"/>
      <c r="I199" s="2"/>
    </row>
    <row r="200" spans="3:9" x14ac:dyDescent="0.4">
      <c r="C200" s="2"/>
      <c r="I200" s="2"/>
    </row>
    <row r="201" spans="3:9" x14ac:dyDescent="0.4">
      <c r="C201" s="2"/>
      <c r="I201" s="2"/>
    </row>
    <row r="202" spans="3:9" x14ac:dyDescent="0.4">
      <c r="C202" s="2"/>
      <c r="I202" s="2"/>
    </row>
    <row r="203" spans="3:9" x14ac:dyDescent="0.4">
      <c r="C203" s="2"/>
      <c r="I203" s="2"/>
    </row>
    <row r="204" spans="3:9" x14ac:dyDescent="0.4">
      <c r="C204" s="2"/>
      <c r="I204" s="2"/>
    </row>
    <row r="205" spans="3:9" x14ac:dyDescent="0.4">
      <c r="C205" s="2"/>
      <c r="I205" s="2"/>
    </row>
    <row r="206" spans="3:9" x14ac:dyDescent="0.4">
      <c r="C206" s="2"/>
      <c r="I206" s="2"/>
    </row>
    <row r="207" spans="3:9" x14ac:dyDescent="0.4">
      <c r="C207" s="2"/>
      <c r="I207" s="2"/>
    </row>
    <row r="208" spans="3:9" x14ac:dyDescent="0.4">
      <c r="C208" s="2"/>
      <c r="I208" s="2"/>
    </row>
    <row r="209" spans="3:9" x14ac:dyDescent="0.4">
      <c r="C209" s="2"/>
      <c r="I209" s="2"/>
    </row>
    <row r="210" spans="3:9" x14ac:dyDescent="0.4">
      <c r="C210" s="2"/>
      <c r="I210" s="2"/>
    </row>
    <row r="211" spans="3:9" x14ac:dyDescent="0.4">
      <c r="C211" s="2"/>
      <c r="I211" s="2"/>
    </row>
    <row r="212" spans="3:9" x14ac:dyDescent="0.4">
      <c r="C212" s="2"/>
      <c r="I212" s="2"/>
    </row>
    <row r="213" spans="3:9" x14ac:dyDescent="0.4">
      <c r="C213" s="2"/>
      <c r="I213" s="2"/>
    </row>
    <row r="214" spans="3:9" x14ac:dyDescent="0.4">
      <c r="C214" s="2"/>
      <c r="I214" s="2"/>
    </row>
    <row r="215" spans="3:9" x14ac:dyDescent="0.4">
      <c r="C215" s="2"/>
      <c r="I215" s="2"/>
    </row>
    <row r="216" spans="3:9" x14ac:dyDescent="0.4">
      <c r="C216" s="2"/>
      <c r="I216" s="2"/>
    </row>
    <row r="217" spans="3:9" x14ac:dyDescent="0.4">
      <c r="C217" s="2"/>
      <c r="I217" s="2"/>
    </row>
    <row r="218" spans="3:9" x14ac:dyDescent="0.4">
      <c r="C218" s="2"/>
      <c r="I218" s="2"/>
    </row>
    <row r="219" spans="3:9" x14ac:dyDescent="0.4">
      <c r="C219" s="2"/>
      <c r="I219" s="2"/>
    </row>
    <row r="220" spans="3:9" x14ac:dyDescent="0.4">
      <c r="C220" s="2"/>
      <c r="I220" s="2"/>
    </row>
    <row r="221" spans="3:9" x14ac:dyDescent="0.4">
      <c r="C221" s="2"/>
      <c r="I221" s="2"/>
    </row>
    <row r="222" spans="3:9" x14ac:dyDescent="0.4">
      <c r="C222" s="2"/>
      <c r="I222" s="2"/>
    </row>
    <row r="223" spans="3:9" x14ac:dyDescent="0.4">
      <c r="C223" s="2"/>
      <c r="I223" s="2"/>
    </row>
    <row r="224" spans="3:9" x14ac:dyDescent="0.4">
      <c r="C224" s="2"/>
      <c r="I224" s="2"/>
    </row>
    <row r="225" spans="3:9" x14ac:dyDescent="0.4">
      <c r="C225" s="2"/>
      <c r="I225" s="2"/>
    </row>
    <row r="226" spans="3:9" x14ac:dyDescent="0.4">
      <c r="C226" s="2"/>
      <c r="I226" s="2"/>
    </row>
    <row r="227" spans="3:9" x14ac:dyDescent="0.4">
      <c r="C227" s="2"/>
      <c r="I227" s="2"/>
    </row>
    <row r="228" spans="3:9" x14ac:dyDescent="0.4">
      <c r="C228" s="2"/>
      <c r="I228" s="2"/>
    </row>
    <row r="229" spans="3:9" x14ac:dyDescent="0.4">
      <c r="C229" s="2"/>
      <c r="I229" s="2"/>
    </row>
    <row r="230" spans="3:9" x14ac:dyDescent="0.4">
      <c r="C230" s="2"/>
      <c r="I230" s="2"/>
    </row>
    <row r="231" spans="3:9" x14ac:dyDescent="0.4">
      <c r="C231" s="2"/>
      <c r="I231" s="2"/>
    </row>
    <row r="232" spans="3:9" x14ac:dyDescent="0.4">
      <c r="C232" s="2"/>
      <c r="I232" s="2"/>
    </row>
    <row r="233" spans="3:9" x14ac:dyDescent="0.4">
      <c r="C233" s="2"/>
      <c r="I233" s="2"/>
    </row>
    <row r="234" spans="3:9" x14ac:dyDescent="0.4">
      <c r="C234" s="2"/>
      <c r="I234" s="2"/>
    </row>
    <row r="235" spans="3:9" x14ac:dyDescent="0.4">
      <c r="C235" s="2"/>
      <c r="I235" s="2"/>
    </row>
    <row r="236" spans="3:9" x14ac:dyDescent="0.4">
      <c r="C236" s="2"/>
      <c r="I236" s="2"/>
    </row>
    <row r="237" spans="3:9" x14ac:dyDescent="0.4">
      <c r="C237" s="2"/>
      <c r="I237" s="2"/>
    </row>
    <row r="238" spans="3:9" x14ac:dyDescent="0.4">
      <c r="C238" s="2"/>
      <c r="I238" s="2"/>
    </row>
    <row r="239" spans="3:9" x14ac:dyDescent="0.4">
      <c r="C239" s="2"/>
      <c r="I239" s="2"/>
    </row>
    <row r="240" spans="3:9" x14ac:dyDescent="0.4">
      <c r="C240" s="2"/>
      <c r="I240" s="2"/>
    </row>
    <row r="241" spans="3:9" x14ac:dyDescent="0.4">
      <c r="C241" s="2"/>
      <c r="I241" s="2"/>
    </row>
    <row r="242" spans="3:9" x14ac:dyDescent="0.4">
      <c r="C242" s="2"/>
      <c r="I242" s="2"/>
    </row>
    <row r="243" spans="3:9" x14ac:dyDescent="0.4">
      <c r="C243" s="2"/>
      <c r="I243" s="2"/>
    </row>
    <row r="244" spans="3:9" x14ac:dyDescent="0.4">
      <c r="C244" s="2"/>
      <c r="I244" s="2"/>
    </row>
    <row r="245" spans="3:9" x14ac:dyDescent="0.4">
      <c r="C245" s="2"/>
      <c r="I245" s="2"/>
    </row>
    <row r="246" spans="3:9" x14ac:dyDescent="0.4">
      <c r="C246" s="2"/>
      <c r="I246" s="2"/>
    </row>
    <row r="247" spans="3:9" x14ac:dyDescent="0.4">
      <c r="C247" s="2"/>
      <c r="I247" s="2"/>
    </row>
    <row r="248" spans="3:9" x14ac:dyDescent="0.4">
      <c r="C248" s="2"/>
      <c r="I248" s="2"/>
    </row>
    <row r="249" spans="3:9" x14ac:dyDescent="0.4">
      <c r="C249" s="2"/>
      <c r="I249" s="2"/>
    </row>
    <row r="250" spans="3:9" x14ac:dyDescent="0.4">
      <c r="C250" s="2"/>
      <c r="I250" s="2"/>
    </row>
    <row r="251" spans="3:9" x14ac:dyDescent="0.4">
      <c r="C251" s="2"/>
      <c r="I251" s="2"/>
    </row>
    <row r="252" spans="3:9" x14ac:dyDescent="0.4">
      <c r="C252" s="2"/>
      <c r="I252" s="2"/>
    </row>
    <row r="253" spans="3:9" x14ac:dyDescent="0.4">
      <c r="C253" s="2"/>
      <c r="I253" s="2"/>
    </row>
    <row r="254" spans="3:9" x14ac:dyDescent="0.4">
      <c r="C254" s="2"/>
      <c r="I254" s="2"/>
    </row>
    <row r="255" spans="3:9" x14ac:dyDescent="0.4">
      <c r="C255" s="2"/>
      <c r="I255" s="2"/>
    </row>
    <row r="256" spans="3:9" x14ac:dyDescent="0.4">
      <c r="C256" s="2"/>
      <c r="I256" s="2"/>
    </row>
    <row r="257" spans="3:9" x14ac:dyDescent="0.4">
      <c r="C257" s="2"/>
      <c r="I257" s="2"/>
    </row>
    <row r="258" spans="3:9" x14ac:dyDescent="0.4">
      <c r="C258" s="2"/>
      <c r="I258" s="2"/>
    </row>
    <row r="259" spans="3:9" x14ac:dyDescent="0.4">
      <c r="C259" s="2"/>
      <c r="I259" s="2"/>
    </row>
    <row r="260" spans="3:9" x14ac:dyDescent="0.4">
      <c r="C260" s="2"/>
      <c r="I260" s="2"/>
    </row>
    <row r="261" spans="3:9" x14ac:dyDescent="0.4">
      <c r="C261" s="2"/>
      <c r="I261" s="2"/>
    </row>
    <row r="262" spans="3:9" x14ac:dyDescent="0.4">
      <c r="C262" s="2"/>
      <c r="I262" s="2"/>
    </row>
    <row r="263" spans="3:9" x14ac:dyDescent="0.4">
      <c r="C263" s="2"/>
      <c r="I263" s="2"/>
    </row>
    <row r="264" spans="3:9" x14ac:dyDescent="0.4">
      <c r="C264" s="2"/>
      <c r="I264" s="2"/>
    </row>
    <row r="265" spans="3:9" x14ac:dyDescent="0.4">
      <c r="C265" s="2"/>
      <c r="I265" s="2"/>
    </row>
    <row r="266" spans="3:9" x14ac:dyDescent="0.4">
      <c r="C266" s="2"/>
      <c r="I266" s="2"/>
    </row>
    <row r="267" spans="3:9" x14ac:dyDescent="0.4">
      <c r="C267" s="2"/>
      <c r="I267" s="2"/>
    </row>
    <row r="268" spans="3:9" x14ac:dyDescent="0.4">
      <c r="C268" s="2"/>
      <c r="I268" s="2"/>
    </row>
    <row r="269" spans="3:9" x14ac:dyDescent="0.4">
      <c r="C269" s="2"/>
      <c r="I269" s="2"/>
    </row>
    <row r="270" spans="3:9" x14ac:dyDescent="0.4">
      <c r="C270" s="2"/>
      <c r="I270" s="2"/>
    </row>
    <row r="271" spans="3:9" x14ac:dyDescent="0.4">
      <c r="C271" s="2"/>
      <c r="I271" s="2"/>
    </row>
    <row r="272" spans="3:9" x14ac:dyDescent="0.4">
      <c r="C272" s="2"/>
      <c r="I272" s="2"/>
    </row>
    <row r="273" spans="3:9" x14ac:dyDescent="0.4">
      <c r="C273" s="2"/>
      <c r="I273" s="2"/>
    </row>
    <row r="274" spans="3:9" x14ac:dyDescent="0.4">
      <c r="C274" s="2"/>
      <c r="I274" s="2"/>
    </row>
    <row r="275" spans="3:9" x14ac:dyDescent="0.4">
      <c r="C275" s="2"/>
      <c r="I275" s="2"/>
    </row>
    <row r="276" spans="3:9" x14ac:dyDescent="0.4">
      <c r="C276" s="2"/>
      <c r="I276" s="2"/>
    </row>
    <row r="277" spans="3:9" x14ac:dyDescent="0.4">
      <c r="C277" s="2"/>
      <c r="I277" s="2"/>
    </row>
    <row r="278" spans="3:9" x14ac:dyDescent="0.4">
      <c r="C278" s="2"/>
      <c r="I278" s="2"/>
    </row>
    <row r="279" spans="3:9" x14ac:dyDescent="0.4">
      <c r="C279" s="2"/>
      <c r="I279" s="2"/>
    </row>
    <row r="280" spans="3:9" x14ac:dyDescent="0.4">
      <c r="C280" s="2"/>
      <c r="I280" s="2"/>
    </row>
    <row r="281" spans="3:9" x14ac:dyDescent="0.4">
      <c r="C281" s="2"/>
      <c r="I281" s="2"/>
    </row>
    <row r="282" spans="3:9" x14ac:dyDescent="0.4">
      <c r="C282" s="2"/>
      <c r="I282" s="2"/>
    </row>
    <row r="283" spans="3:9" x14ac:dyDescent="0.4">
      <c r="C283" s="2"/>
      <c r="I283" s="2"/>
    </row>
    <row r="284" spans="3:9" x14ac:dyDescent="0.4">
      <c r="C284" s="2"/>
      <c r="I284" s="2"/>
    </row>
    <row r="285" spans="3:9" x14ac:dyDescent="0.4">
      <c r="C285" s="2"/>
      <c r="I285" s="2"/>
    </row>
    <row r="286" spans="3:9" x14ac:dyDescent="0.4">
      <c r="C286" s="2"/>
      <c r="I286" s="2"/>
    </row>
    <row r="287" spans="3:9" x14ac:dyDescent="0.4">
      <c r="C287" s="2"/>
      <c r="I287" s="2"/>
    </row>
    <row r="288" spans="3:9" x14ac:dyDescent="0.4">
      <c r="C288" s="2"/>
      <c r="I288" s="2"/>
    </row>
    <row r="289" spans="3:9" x14ac:dyDescent="0.4">
      <c r="C289" s="2"/>
      <c r="I289" s="2"/>
    </row>
    <row r="290" spans="3:9" x14ac:dyDescent="0.4">
      <c r="C290" s="2"/>
      <c r="I290" s="2"/>
    </row>
    <row r="291" spans="3:9" x14ac:dyDescent="0.4">
      <c r="C291" s="2"/>
      <c r="I291" s="2"/>
    </row>
    <row r="292" spans="3:9" x14ac:dyDescent="0.4">
      <c r="C292" s="2"/>
      <c r="I292" s="2"/>
    </row>
    <row r="293" spans="3:9" x14ac:dyDescent="0.4">
      <c r="C293" s="2"/>
      <c r="I293" s="2"/>
    </row>
    <row r="294" spans="3:9" x14ac:dyDescent="0.4">
      <c r="C294" s="2"/>
      <c r="I294" s="2"/>
    </row>
    <row r="295" spans="3:9" x14ac:dyDescent="0.4">
      <c r="C295" s="2"/>
      <c r="I295" s="2"/>
    </row>
    <row r="296" spans="3:9" x14ac:dyDescent="0.4">
      <c r="C296" s="2"/>
      <c r="I296" s="2"/>
    </row>
  </sheetData>
  <mergeCells count="5">
    <mergeCell ref="C1:D1"/>
    <mergeCell ref="C2:D2"/>
    <mergeCell ref="B36:D36"/>
    <mergeCell ref="E36:F37"/>
    <mergeCell ref="B37:D3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E095-AEC9-4437-9903-54BB711B8DFA}">
  <sheetPr>
    <tabColor theme="7" tint="0.79998168889431442"/>
  </sheetPr>
  <dimension ref="B2:J81"/>
  <sheetViews>
    <sheetView topLeftCell="A58" workbookViewId="0">
      <selection activeCell="D63" sqref="D63:D64"/>
    </sheetView>
  </sheetViews>
  <sheetFormatPr defaultRowHeight="18.75" x14ac:dyDescent="0.4"/>
  <cols>
    <col min="2" max="2" width="25.625" style="31" customWidth="1"/>
    <col min="3" max="4" width="8.875" style="47" customWidth="1"/>
    <col min="5" max="5" width="8.875" style="34" customWidth="1"/>
    <col min="6" max="6" width="9" style="47"/>
    <col min="8" max="9" width="9" style="1"/>
  </cols>
  <sheetData>
    <row r="2" spans="2:10" x14ac:dyDescent="0.4">
      <c r="B2" s="30"/>
      <c r="C2" s="80" t="s">
        <v>30</v>
      </c>
      <c r="D2" s="80"/>
      <c r="E2" s="80"/>
      <c r="F2" s="81"/>
      <c r="G2" s="1"/>
    </row>
    <row r="3" spans="2:10" x14ac:dyDescent="0.4">
      <c r="B3" s="30"/>
      <c r="C3" s="33" t="s">
        <v>26</v>
      </c>
      <c r="D3" s="52" t="s">
        <v>28</v>
      </c>
      <c r="E3" s="37" t="s">
        <v>43</v>
      </c>
      <c r="F3" s="48" t="s">
        <v>27</v>
      </c>
      <c r="G3" s="1"/>
      <c r="H3" s="1" t="s">
        <v>26</v>
      </c>
      <c r="I3" s="1" t="s">
        <v>27</v>
      </c>
      <c r="J3" s="55" t="s">
        <v>43</v>
      </c>
    </row>
    <row r="4" spans="2:10" x14ac:dyDescent="0.4">
      <c r="B4" s="30"/>
      <c r="C4" s="82" t="s">
        <v>29</v>
      </c>
      <c r="D4" s="83"/>
      <c r="E4" s="83"/>
      <c r="F4" s="84"/>
      <c r="G4" s="1"/>
    </row>
    <row r="5" spans="2:10" x14ac:dyDescent="0.4">
      <c r="B5" s="85" t="s">
        <v>0</v>
      </c>
      <c r="C5" s="44">
        <v>9.7159999999999993</v>
      </c>
      <c r="D5" s="87">
        <v>9.81</v>
      </c>
      <c r="E5" s="35"/>
      <c r="F5" s="49">
        <v>9.6809999999999992</v>
      </c>
      <c r="G5" s="1"/>
      <c r="H5" s="38">
        <v>2.99</v>
      </c>
      <c r="I5" s="38">
        <v>5.38</v>
      </c>
    </row>
    <row r="6" spans="2:10" s="8" customFormat="1" x14ac:dyDescent="0.4">
      <c r="B6" s="86"/>
      <c r="C6" s="45">
        <f>(D5-C5)/H5</f>
        <v>3.1438127090301402E-2</v>
      </c>
      <c r="D6" s="88"/>
      <c r="E6" s="39"/>
      <c r="F6" s="50">
        <f>(D5-F5)/I5</f>
        <v>2.3977695167286494E-2</v>
      </c>
      <c r="G6" s="40"/>
      <c r="H6" s="41"/>
      <c r="I6" s="41"/>
    </row>
    <row r="7" spans="2:10" x14ac:dyDescent="0.4">
      <c r="B7" s="85" t="s">
        <v>1</v>
      </c>
      <c r="C7" s="46">
        <v>9.8249999999999993</v>
      </c>
      <c r="D7" s="87">
        <v>9.8550000000000004</v>
      </c>
      <c r="E7" s="35"/>
      <c r="F7" s="51">
        <v>9.7430000000000003</v>
      </c>
      <c r="G7" s="2"/>
      <c r="H7" s="38">
        <v>2.97</v>
      </c>
      <c r="I7" s="38">
        <v>5.4</v>
      </c>
    </row>
    <row r="8" spans="2:10" x14ac:dyDescent="0.4">
      <c r="B8" s="86"/>
      <c r="C8" s="45">
        <f>(D7-C7)/H7</f>
        <v>1.0101010101010484E-2</v>
      </c>
      <c r="D8" s="88"/>
      <c r="E8" s="39"/>
      <c r="F8" s="50">
        <f>(D7-F7)/I7</f>
        <v>2.0740740740740757E-2</v>
      </c>
      <c r="G8" s="2"/>
      <c r="H8" s="38"/>
      <c r="I8" s="38"/>
    </row>
    <row r="9" spans="2:10" x14ac:dyDescent="0.4">
      <c r="B9" s="85" t="s">
        <v>2</v>
      </c>
      <c r="C9" s="46">
        <v>9.8689999999999998</v>
      </c>
      <c r="D9" s="87">
        <v>9.9009999999999998</v>
      </c>
      <c r="E9" s="35"/>
      <c r="F9" s="51">
        <v>9.8350000000000009</v>
      </c>
      <c r="G9" s="2"/>
      <c r="H9" s="38">
        <v>2.95</v>
      </c>
      <c r="I9" s="38">
        <v>5.4</v>
      </c>
    </row>
    <row r="10" spans="2:10" x14ac:dyDescent="0.4">
      <c r="B10" s="86"/>
      <c r="C10" s="45">
        <f>(D9-C9)/H9</f>
        <v>1.0847457627118653E-2</v>
      </c>
      <c r="D10" s="88"/>
      <c r="E10" s="39"/>
      <c r="F10" s="50">
        <f>(D9-F9)/I9</f>
        <v>1.2222222222222027E-2</v>
      </c>
      <c r="G10" s="2"/>
      <c r="H10" s="38"/>
      <c r="I10" s="38"/>
    </row>
    <row r="11" spans="2:10" x14ac:dyDescent="0.4">
      <c r="B11" s="85" t="s">
        <v>3</v>
      </c>
      <c r="C11" s="46">
        <v>9.8829999999999991</v>
      </c>
      <c r="D11" s="87">
        <v>9.9350000000000005</v>
      </c>
      <c r="E11" s="35"/>
      <c r="F11" s="51">
        <v>9.8780000000000001</v>
      </c>
      <c r="G11" s="2"/>
      <c r="H11" s="38">
        <v>2.92</v>
      </c>
      <c r="I11" s="38">
        <v>5.25</v>
      </c>
    </row>
    <row r="12" spans="2:10" x14ac:dyDescent="0.4">
      <c r="B12" s="86"/>
      <c r="C12" s="45">
        <f>(D11-C11)/H11</f>
        <v>1.7808219178082663E-2</v>
      </c>
      <c r="D12" s="88"/>
      <c r="E12" s="39"/>
      <c r="F12" s="50">
        <f>(D11-F11)/I11</f>
        <v>1.085714285714293E-2</v>
      </c>
      <c r="G12" s="2"/>
      <c r="H12" s="38"/>
      <c r="I12" s="38"/>
    </row>
    <row r="13" spans="2:10" x14ac:dyDescent="0.4">
      <c r="B13" s="89" t="s">
        <v>34</v>
      </c>
      <c r="C13" s="46">
        <v>9.8719999999999999</v>
      </c>
      <c r="D13" s="87">
        <v>9.9450000000000003</v>
      </c>
      <c r="E13" s="36">
        <v>9.9550000000000001</v>
      </c>
      <c r="F13" s="51">
        <v>9.8729999999999993</v>
      </c>
      <c r="G13" s="2"/>
      <c r="H13" s="38">
        <v>2.93</v>
      </c>
      <c r="I13" s="38">
        <v>5.13</v>
      </c>
      <c r="J13">
        <v>1.4</v>
      </c>
    </row>
    <row r="14" spans="2:10" x14ac:dyDescent="0.4">
      <c r="B14" s="90"/>
      <c r="C14" s="45">
        <f>(D13-C13)/H13</f>
        <v>2.4914675767918223E-2</v>
      </c>
      <c r="D14" s="88"/>
      <c r="E14" s="39"/>
      <c r="F14" s="50">
        <f>(D13-F13)/I13</f>
        <v>1.4035087719298431E-2</v>
      </c>
      <c r="G14" s="2"/>
      <c r="H14" s="38"/>
      <c r="I14" s="38"/>
    </row>
    <row r="15" spans="2:10" x14ac:dyDescent="0.4">
      <c r="B15" s="85" t="s">
        <v>5</v>
      </c>
      <c r="C15" s="46">
        <v>9.9030000000000005</v>
      </c>
      <c r="D15" s="87">
        <v>9.9469999999999992</v>
      </c>
      <c r="E15" s="35"/>
      <c r="F15" s="51">
        <v>9.8839999999999986</v>
      </c>
      <c r="G15" s="2"/>
      <c r="H15" s="38">
        <v>3</v>
      </c>
      <c r="I15" s="38">
        <v>4.97</v>
      </c>
    </row>
    <row r="16" spans="2:10" x14ac:dyDescent="0.4">
      <c r="B16" s="86"/>
      <c r="C16" s="45">
        <f>(D15-C15)/H15</f>
        <v>1.4666666666666236E-2</v>
      </c>
      <c r="D16" s="88"/>
      <c r="E16" s="39"/>
      <c r="F16" s="50">
        <f>(D15-F15)/I15</f>
        <v>1.2676056338028293E-2</v>
      </c>
      <c r="G16" s="2"/>
      <c r="H16" s="38"/>
      <c r="I16" s="38"/>
    </row>
    <row r="17" spans="2:10" x14ac:dyDescent="0.4">
      <c r="B17" s="85" t="s">
        <v>6</v>
      </c>
      <c r="C17" s="46">
        <v>9.9260000000000002</v>
      </c>
      <c r="D17" s="87">
        <v>9.9870000000000001</v>
      </c>
      <c r="E17" s="35"/>
      <c r="F17" s="51">
        <v>9.9120000000000008</v>
      </c>
      <c r="G17" s="2"/>
      <c r="H17" s="38">
        <v>3.05</v>
      </c>
      <c r="I17" s="38">
        <v>4.46</v>
      </c>
    </row>
    <row r="18" spans="2:10" x14ac:dyDescent="0.4">
      <c r="B18" s="86"/>
      <c r="C18" s="45">
        <f>(D17-C17)/H17</f>
        <v>1.9999999999999983E-2</v>
      </c>
      <c r="D18" s="88"/>
      <c r="E18" s="39"/>
      <c r="F18" s="50">
        <f>(D17-F17)/I17</f>
        <v>1.6816143497757688E-2</v>
      </c>
      <c r="G18" s="2"/>
      <c r="H18" s="38"/>
      <c r="I18" s="38"/>
    </row>
    <row r="19" spans="2:10" x14ac:dyDescent="0.4">
      <c r="B19" s="85" t="s">
        <v>7</v>
      </c>
      <c r="C19" s="46">
        <v>10.038</v>
      </c>
      <c r="D19" s="87">
        <v>10.050000000000001</v>
      </c>
      <c r="E19" s="35"/>
      <c r="F19" s="51">
        <v>9.9559999999999995</v>
      </c>
      <c r="G19" s="2"/>
      <c r="H19" s="38">
        <v>3.2</v>
      </c>
      <c r="I19" s="38">
        <v>3.9</v>
      </c>
    </row>
    <row r="20" spans="2:10" x14ac:dyDescent="0.4">
      <c r="B20" s="86"/>
      <c r="C20" s="45">
        <f>(D19-C19)/H19</f>
        <v>3.7500000000001421E-3</v>
      </c>
      <c r="D20" s="88"/>
      <c r="E20" s="39"/>
      <c r="F20" s="50">
        <f>(D19-F19)/I19</f>
        <v>2.4102564102564408E-2</v>
      </c>
      <c r="G20" s="2"/>
      <c r="H20" s="38"/>
      <c r="I20" s="38"/>
    </row>
    <row r="21" spans="2:10" x14ac:dyDescent="0.4">
      <c r="B21" s="89" t="s">
        <v>35</v>
      </c>
      <c r="C21" s="46">
        <v>10.052</v>
      </c>
      <c r="D21" s="87">
        <v>10.054</v>
      </c>
      <c r="E21" s="36">
        <v>10.039</v>
      </c>
      <c r="F21" s="51">
        <v>9.9589999999999996</v>
      </c>
      <c r="G21" s="2"/>
      <c r="H21" s="38">
        <v>3.14</v>
      </c>
      <c r="I21" s="38">
        <v>3.79</v>
      </c>
      <c r="J21" s="54">
        <v>1</v>
      </c>
    </row>
    <row r="22" spans="2:10" x14ac:dyDescent="0.4">
      <c r="B22" s="90"/>
      <c r="C22" s="45">
        <f>(D21-C21)/H21</f>
        <v>6.3694267515944836E-4</v>
      </c>
      <c r="D22" s="88"/>
      <c r="E22" s="39"/>
      <c r="F22" s="50">
        <f>(D21-F21)/I21</f>
        <v>2.5065963060686185E-2</v>
      </c>
      <c r="G22" s="2"/>
      <c r="H22" s="38"/>
      <c r="I22" s="38"/>
    </row>
    <row r="23" spans="2:10" x14ac:dyDescent="0.4">
      <c r="B23" s="85" t="s">
        <v>8</v>
      </c>
      <c r="C23" s="46">
        <v>10.002000000000001</v>
      </c>
      <c r="D23" s="87">
        <v>10.045999999999999</v>
      </c>
      <c r="E23" s="35"/>
      <c r="F23" s="51">
        <v>9.968</v>
      </c>
      <c r="G23" s="2"/>
      <c r="H23" s="38">
        <v>3.18</v>
      </c>
      <c r="I23" s="38">
        <v>3.47</v>
      </c>
    </row>
    <row r="24" spans="2:10" x14ac:dyDescent="0.4">
      <c r="B24" s="86"/>
      <c r="C24" s="45">
        <f>(D23-C23)/H23</f>
        <v>1.3836477987420976E-2</v>
      </c>
      <c r="D24" s="88"/>
      <c r="E24" s="39"/>
      <c r="F24" s="50">
        <f>(D23-F23)/I23</f>
        <v>2.2478386167146799E-2</v>
      </c>
      <c r="G24" s="2"/>
      <c r="H24" s="38"/>
      <c r="I24" s="38"/>
    </row>
    <row r="25" spans="2:10" x14ac:dyDescent="0.4">
      <c r="B25" s="85" t="s">
        <v>9</v>
      </c>
      <c r="C25" s="46">
        <v>9.9960000000000004</v>
      </c>
      <c r="D25" s="87">
        <v>10.048999999999999</v>
      </c>
      <c r="E25" s="35"/>
      <c r="F25" s="51">
        <v>9.9920000000000009</v>
      </c>
      <c r="G25" s="2"/>
      <c r="H25" s="38">
        <v>3.2</v>
      </c>
      <c r="I25" s="38">
        <v>3.2</v>
      </c>
    </row>
    <row r="26" spans="2:10" x14ac:dyDescent="0.4">
      <c r="B26" s="86"/>
      <c r="C26" s="45">
        <f>(D25-C25)/H25</f>
        <v>1.6562499999999702E-2</v>
      </c>
      <c r="D26" s="88"/>
      <c r="E26" s="39"/>
      <c r="F26" s="50">
        <f>(D25-F25)/I25</f>
        <v>1.7812499999999565E-2</v>
      </c>
      <c r="G26" s="2"/>
      <c r="H26" s="38"/>
      <c r="I26" s="38"/>
    </row>
    <row r="27" spans="2:10" x14ac:dyDescent="0.4">
      <c r="B27" s="85" t="s">
        <v>31</v>
      </c>
      <c r="C27" s="46">
        <v>10.002000000000001</v>
      </c>
      <c r="D27" s="87">
        <v>10.068</v>
      </c>
      <c r="E27" s="35"/>
      <c r="F27" s="51">
        <v>9.9990000000000006</v>
      </c>
      <c r="G27" s="2"/>
      <c r="H27" s="38">
        <v>3.19</v>
      </c>
      <c r="I27" s="38">
        <v>3.18</v>
      </c>
    </row>
    <row r="28" spans="2:10" x14ac:dyDescent="0.4">
      <c r="B28" s="86"/>
      <c r="C28" s="45">
        <f>(D27-C27)/H27</f>
        <v>2.0689655172413463E-2</v>
      </c>
      <c r="D28" s="88"/>
      <c r="E28" s="39"/>
      <c r="F28" s="50">
        <f>(D27-F27)/I27</f>
        <v>2.1698113207546874E-2</v>
      </c>
      <c r="G28" s="2"/>
      <c r="H28" s="38"/>
      <c r="I28" s="38"/>
    </row>
    <row r="29" spans="2:10" x14ac:dyDescent="0.4">
      <c r="B29" s="85" t="s">
        <v>11</v>
      </c>
      <c r="C29" s="46">
        <v>10.019</v>
      </c>
      <c r="D29" s="87">
        <v>10.087999999999999</v>
      </c>
      <c r="E29" s="35"/>
      <c r="F29" s="51">
        <v>10.023999999999999</v>
      </c>
      <c r="G29" s="2"/>
      <c r="H29" s="38">
        <v>3.2</v>
      </c>
      <c r="I29" s="38">
        <v>3.18</v>
      </c>
    </row>
    <row r="30" spans="2:10" x14ac:dyDescent="0.4">
      <c r="B30" s="86"/>
      <c r="C30" s="45">
        <f>(D29-C29)/H29</f>
        <v>2.1562499999999707E-2</v>
      </c>
      <c r="D30" s="88"/>
      <c r="E30" s="39"/>
      <c r="F30" s="50">
        <f>(D29-F29)/I29</f>
        <v>2.0125786163522029E-2</v>
      </c>
      <c r="G30" s="2"/>
      <c r="H30" s="38"/>
      <c r="I30" s="38"/>
    </row>
    <row r="31" spans="2:10" x14ac:dyDescent="0.4">
      <c r="B31" s="85" t="s">
        <v>12</v>
      </c>
      <c r="C31" s="46">
        <v>10.037000000000001</v>
      </c>
      <c r="D31" s="87">
        <v>10.089</v>
      </c>
      <c r="E31" s="35"/>
      <c r="F31" s="51">
        <v>10.035</v>
      </c>
      <c r="G31" s="2"/>
      <c r="H31" s="38">
        <v>3.18</v>
      </c>
      <c r="I31" s="38">
        <v>3.2</v>
      </c>
    </row>
    <row r="32" spans="2:10" x14ac:dyDescent="0.4">
      <c r="B32" s="86"/>
      <c r="C32" s="45">
        <f>(D31-C31)/H31</f>
        <v>1.635220125786151E-2</v>
      </c>
      <c r="D32" s="88"/>
      <c r="E32" s="39"/>
      <c r="F32" s="50">
        <f>(D31-F31)/I31</f>
        <v>1.6875000000000084E-2</v>
      </c>
      <c r="G32" s="2"/>
      <c r="H32" s="38"/>
      <c r="I32" s="38"/>
    </row>
    <row r="33" spans="2:10" x14ac:dyDescent="0.4">
      <c r="B33" s="85" t="s">
        <v>13</v>
      </c>
      <c r="C33" s="46">
        <v>10.103</v>
      </c>
      <c r="D33" s="87">
        <v>10.138</v>
      </c>
      <c r="E33" s="35"/>
      <c r="F33" s="51">
        <v>10.071999999999999</v>
      </c>
      <c r="G33" s="2"/>
      <c r="H33" s="38">
        <v>3.2</v>
      </c>
      <c r="I33" s="38">
        <v>3.2</v>
      </c>
    </row>
    <row r="34" spans="2:10" x14ac:dyDescent="0.4">
      <c r="B34" s="86"/>
      <c r="C34" s="45">
        <f>(D33-C33)/H33</f>
        <v>1.0937500000000044E-2</v>
      </c>
      <c r="D34" s="88"/>
      <c r="E34" s="39"/>
      <c r="F34" s="50">
        <f>(D33-F33)/I33</f>
        <v>2.0625000000000226E-2</v>
      </c>
      <c r="G34" s="2"/>
      <c r="H34" s="38"/>
      <c r="I34" s="38"/>
    </row>
    <row r="35" spans="2:10" x14ac:dyDescent="0.4">
      <c r="B35" s="89" t="s">
        <v>44</v>
      </c>
      <c r="C35" s="46">
        <v>10.132</v>
      </c>
      <c r="D35" s="87">
        <v>10.153</v>
      </c>
      <c r="E35" s="36">
        <v>10.134</v>
      </c>
      <c r="F35" s="51">
        <v>10.07</v>
      </c>
      <c r="G35" s="2"/>
      <c r="H35" s="38">
        <v>3.18</v>
      </c>
      <c r="I35" s="38">
        <v>3.2</v>
      </c>
      <c r="J35">
        <v>0.8</v>
      </c>
    </row>
    <row r="36" spans="2:10" x14ac:dyDescent="0.4">
      <c r="B36" s="90"/>
      <c r="C36" s="45">
        <f>(D35-C35)/H35</f>
        <v>6.6037735849059104E-3</v>
      </c>
      <c r="D36" s="88"/>
      <c r="E36" s="39"/>
      <c r="F36" s="50">
        <f>(D35-F35)/I35</f>
        <v>2.5937500000000058E-2</v>
      </c>
      <c r="G36" s="2"/>
      <c r="H36" s="38"/>
      <c r="I36" s="38"/>
    </row>
    <row r="37" spans="2:10" x14ac:dyDescent="0.4">
      <c r="B37" s="85" t="s">
        <v>14</v>
      </c>
      <c r="C37" s="46">
        <v>10.108000000000001</v>
      </c>
      <c r="D37" s="87">
        <v>10.154</v>
      </c>
      <c r="E37" s="35"/>
      <c r="F37" s="51">
        <v>10.098000000000001</v>
      </c>
      <c r="G37" s="2"/>
      <c r="H37" s="38">
        <v>3.18</v>
      </c>
      <c r="I37" s="38">
        <v>3.2</v>
      </c>
    </row>
    <row r="38" spans="2:10" x14ac:dyDescent="0.4">
      <c r="B38" s="86"/>
      <c r="C38" s="45">
        <f>(D37-C37)/H37</f>
        <v>1.4465408805031249E-2</v>
      </c>
      <c r="D38" s="88"/>
      <c r="E38" s="39"/>
      <c r="F38" s="50">
        <f>(D37-F37)/I37</f>
        <v>1.7499999999999738E-2</v>
      </c>
      <c r="G38" s="2"/>
      <c r="H38" s="38"/>
      <c r="I38" s="38"/>
    </row>
    <row r="39" spans="2:10" x14ac:dyDescent="0.4">
      <c r="B39" s="85" t="s">
        <v>15</v>
      </c>
      <c r="C39" s="46">
        <v>10.14</v>
      </c>
      <c r="D39" s="87">
        <v>10.192</v>
      </c>
      <c r="E39" s="35"/>
      <c r="F39" s="51">
        <v>10.141999999999999</v>
      </c>
      <c r="G39" s="2"/>
      <c r="H39" s="38">
        <v>3.18</v>
      </c>
      <c r="I39" s="38">
        <v>3.19</v>
      </c>
    </row>
    <row r="40" spans="2:10" x14ac:dyDescent="0.4">
      <c r="B40" s="86"/>
      <c r="C40" s="45">
        <f>(D39-C39)/H39</f>
        <v>1.635220125786151E-2</v>
      </c>
      <c r="D40" s="88"/>
      <c r="E40" s="39"/>
      <c r="F40" s="50">
        <f>(D39-F39)/I39</f>
        <v>1.5673981191222795E-2</v>
      </c>
      <c r="G40" s="2"/>
      <c r="H40" s="38"/>
      <c r="I40" s="38"/>
    </row>
    <row r="41" spans="2:10" x14ac:dyDescent="0.4">
      <c r="B41" s="85" t="s">
        <v>16</v>
      </c>
      <c r="C41" s="46">
        <v>10.196</v>
      </c>
      <c r="D41" s="87">
        <v>10.228</v>
      </c>
      <c r="E41" s="35"/>
      <c r="F41" s="51">
        <v>10.19</v>
      </c>
      <c r="G41" s="2"/>
      <c r="H41" s="38">
        <v>3.18</v>
      </c>
      <c r="I41" s="38">
        <v>3.19</v>
      </c>
    </row>
    <row r="42" spans="2:10" x14ac:dyDescent="0.4">
      <c r="B42" s="86"/>
      <c r="C42" s="45">
        <f>(D41-C41)/H41</f>
        <v>1.0062893081761014E-2</v>
      </c>
      <c r="D42" s="88"/>
      <c r="E42" s="39"/>
      <c r="F42" s="50">
        <f>(D41-F41)/I41</f>
        <v>1.1912225705329234E-2</v>
      </c>
      <c r="G42" s="2"/>
      <c r="H42" s="38"/>
      <c r="I42" s="38"/>
    </row>
    <row r="43" spans="2:10" x14ac:dyDescent="0.4">
      <c r="B43" s="85" t="s">
        <v>17</v>
      </c>
      <c r="C43" s="46">
        <v>10.236000000000001</v>
      </c>
      <c r="D43" s="87">
        <v>10.298999999999999</v>
      </c>
      <c r="E43" s="35"/>
      <c r="F43" s="51">
        <v>10.234</v>
      </c>
      <c r="G43" s="2"/>
      <c r="H43" s="38">
        <v>3.17</v>
      </c>
      <c r="I43" s="38">
        <v>3.19</v>
      </c>
    </row>
    <row r="44" spans="2:10" x14ac:dyDescent="0.4">
      <c r="B44" s="86"/>
      <c r="C44" s="45">
        <f>(D43-C43)/H43</f>
        <v>1.987381703469995E-2</v>
      </c>
      <c r="D44" s="88"/>
      <c r="E44" s="39"/>
      <c r="F44" s="50">
        <f>(D43-F43)/I43</f>
        <v>2.0376175548589188E-2</v>
      </c>
      <c r="G44" s="2"/>
      <c r="H44" s="38"/>
      <c r="I44" s="38"/>
    </row>
    <row r="45" spans="2:10" x14ac:dyDescent="0.4">
      <c r="B45" s="85" t="s">
        <v>18</v>
      </c>
      <c r="C45" s="46">
        <v>10.359</v>
      </c>
      <c r="D45" s="87">
        <v>10.364000000000001</v>
      </c>
      <c r="E45" s="35"/>
      <c r="F45" s="51">
        <v>10.398999999999999</v>
      </c>
      <c r="G45" s="2"/>
      <c r="H45" s="38">
        <v>3.2</v>
      </c>
      <c r="I45" s="38">
        <v>3.2</v>
      </c>
    </row>
    <row r="46" spans="2:10" x14ac:dyDescent="0.4">
      <c r="B46" s="86"/>
      <c r="C46" s="45">
        <f>(D45-C45)/H45</f>
        <v>1.5625000000002442E-3</v>
      </c>
      <c r="D46" s="88"/>
      <c r="E46" s="39"/>
      <c r="F46" s="50">
        <f>(D45-F45)/I45</f>
        <v>-1.0937499999999489E-2</v>
      </c>
      <c r="G46" s="2"/>
      <c r="H46" s="38"/>
      <c r="I46" s="38"/>
    </row>
    <row r="47" spans="2:10" x14ac:dyDescent="0.4">
      <c r="B47" s="89" t="s">
        <v>37</v>
      </c>
      <c r="C47" s="46">
        <v>10.372</v>
      </c>
      <c r="D47" s="87">
        <v>10.375999999999999</v>
      </c>
      <c r="E47" s="36">
        <v>10.375</v>
      </c>
      <c r="F47" s="51">
        <v>10.385999999999999</v>
      </c>
      <c r="G47" s="2"/>
      <c r="H47" s="38">
        <v>3.18</v>
      </c>
      <c r="I47" s="38">
        <v>3.2</v>
      </c>
    </row>
    <row r="48" spans="2:10" x14ac:dyDescent="0.4">
      <c r="B48" s="90"/>
      <c r="C48" s="45">
        <f>(D47-C47)/H47</f>
        <v>1.2578616352199872E-3</v>
      </c>
      <c r="D48" s="88"/>
      <c r="E48" s="39"/>
      <c r="F48" s="50">
        <f>(D47-F47)/I47</f>
        <v>-3.1249999999999334E-3</v>
      </c>
      <c r="G48" s="2"/>
      <c r="H48" s="38"/>
      <c r="I48" s="38"/>
      <c r="J48">
        <v>0.8</v>
      </c>
    </row>
    <row r="49" spans="2:10" x14ac:dyDescent="0.4">
      <c r="B49" s="85" t="s">
        <v>19</v>
      </c>
      <c r="C49" s="46">
        <v>10.365</v>
      </c>
      <c r="D49" s="87">
        <v>10.414</v>
      </c>
      <c r="E49" s="35"/>
      <c r="F49" s="51">
        <v>10.348000000000001</v>
      </c>
      <c r="G49" s="2"/>
      <c r="H49" s="38">
        <v>3.22</v>
      </c>
      <c r="I49" s="38">
        <v>3.2</v>
      </c>
    </row>
    <row r="50" spans="2:10" x14ac:dyDescent="0.4">
      <c r="B50" s="86"/>
      <c r="C50" s="45">
        <f>(D49-C49)/H49</f>
        <v>1.5217391304347667E-2</v>
      </c>
      <c r="D50" s="88"/>
      <c r="E50" s="39"/>
      <c r="F50" s="50">
        <f>(D49-F49)/I49</f>
        <v>2.0624999999999671E-2</v>
      </c>
      <c r="G50" s="2"/>
      <c r="H50" s="38"/>
      <c r="I50" s="38"/>
    </row>
    <row r="51" spans="2:10" x14ac:dyDescent="0.4">
      <c r="B51" s="85" t="s">
        <v>20</v>
      </c>
      <c r="C51" s="46">
        <v>10.404</v>
      </c>
      <c r="D51" s="87">
        <v>10.465</v>
      </c>
      <c r="E51" s="35"/>
      <c r="F51" s="51">
        <v>10.419</v>
      </c>
      <c r="G51" s="2"/>
      <c r="H51" s="38">
        <v>3.18</v>
      </c>
      <c r="I51" s="38">
        <v>3.2</v>
      </c>
    </row>
    <row r="52" spans="2:10" x14ac:dyDescent="0.4">
      <c r="B52" s="86"/>
      <c r="C52" s="45">
        <f>(D51-C51)/H51</f>
        <v>1.91823899371069E-2</v>
      </c>
      <c r="D52" s="88"/>
      <c r="E52" s="39"/>
      <c r="F52" s="50">
        <f>(D51-F51)/I51</f>
        <v>1.4374999999999805E-2</v>
      </c>
      <c r="G52" s="2"/>
      <c r="H52" s="38"/>
      <c r="I52" s="38"/>
    </row>
    <row r="53" spans="2:10" x14ac:dyDescent="0.4">
      <c r="B53" s="85" t="s">
        <v>21</v>
      </c>
      <c r="C53" s="46">
        <v>10.478</v>
      </c>
      <c r="D53" s="87">
        <v>10.544</v>
      </c>
      <c r="E53" s="35"/>
      <c r="F53" s="51">
        <v>10.481999999999999</v>
      </c>
      <c r="G53" s="2"/>
      <c r="H53" s="38">
        <v>3.2</v>
      </c>
      <c r="I53" s="38">
        <v>3.2</v>
      </c>
    </row>
    <row r="54" spans="2:10" x14ac:dyDescent="0.4">
      <c r="B54" s="86"/>
      <c r="C54" s="45">
        <f>(D53-C53)/H53</f>
        <v>2.0625000000000226E-2</v>
      </c>
      <c r="D54" s="88"/>
      <c r="E54" s="39"/>
      <c r="F54" s="50">
        <f>(D53-F53)/I53</f>
        <v>1.9375000000000364E-2</v>
      </c>
      <c r="G54" s="2"/>
      <c r="H54" s="38"/>
      <c r="I54" s="38"/>
    </row>
    <row r="55" spans="2:10" x14ac:dyDescent="0.4">
      <c r="B55" s="89" t="s">
        <v>38</v>
      </c>
      <c r="C55" s="46">
        <v>10.510999999999999</v>
      </c>
      <c r="D55" s="87">
        <v>10.589</v>
      </c>
      <c r="E55" s="36">
        <v>10.571999999999999</v>
      </c>
      <c r="F55" s="51">
        <v>10.510999999999999</v>
      </c>
      <c r="G55" s="2"/>
      <c r="H55" s="38">
        <v>3.18</v>
      </c>
      <c r="I55" s="38">
        <v>3.2</v>
      </c>
    </row>
    <row r="56" spans="2:10" x14ac:dyDescent="0.4">
      <c r="B56" s="90"/>
      <c r="C56" s="45">
        <f>(D55-C55)/H55</f>
        <v>2.4528301886792822E-2</v>
      </c>
      <c r="D56" s="88"/>
      <c r="E56" s="39"/>
      <c r="F56" s="50">
        <f>(D55-F55)/I55</f>
        <v>2.4375000000000369E-2</v>
      </c>
      <c r="G56" s="2"/>
      <c r="H56" s="38"/>
      <c r="I56" s="38"/>
      <c r="J56">
        <v>0.7</v>
      </c>
    </row>
    <row r="57" spans="2:10" x14ac:dyDescent="0.4">
      <c r="B57" s="85" t="s">
        <v>22</v>
      </c>
      <c r="C57" s="46">
        <v>10.548999999999999</v>
      </c>
      <c r="D57" s="87">
        <v>10.598000000000001</v>
      </c>
      <c r="E57" s="35"/>
      <c r="F57" s="51">
        <v>10.547000000000001</v>
      </c>
      <c r="G57" s="2"/>
      <c r="H57" s="38">
        <v>3.2</v>
      </c>
      <c r="I57" s="38">
        <v>3.2</v>
      </c>
    </row>
    <row r="58" spans="2:10" x14ac:dyDescent="0.4">
      <c r="B58" s="86"/>
      <c r="C58" s="45">
        <f>(D57-C57)/H57</f>
        <v>1.5312500000000395E-2</v>
      </c>
      <c r="D58" s="88"/>
      <c r="E58" s="39"/>
      <c r="F58" s="50">
        <f>(D57-F57)/I57</f>
        <v>1.5937500000000049E-2</v>
      </c>
      <c r="G58" s="2"/>
      <c r="H58" s="38"/>
      <c r="I58" s="38"/>
    </row>
    <row r="59" spans="2:10" x14ac:dyDescent="0.4">
      <c r="B59" s="85" t="s">
        <v>23</v>
      </c>
      <c r="C59" s="46">
        <v>10.606999999999999</v>
      </c>
      <c r="D59" s="87">
        <v>10.669</v>
      </c>
      <c r="E59" s="35"/>
      <c r="F59" s="51">
        <v>10.619</v>
      </c>
      <c r="G59" s="2"/>
      <c r="H59" s="38">
        <v>3.2</v>
      </c>
      <c r="I59" s="38">
        <v>3.2</v>
      </c>
    </row>
    <row r="60" spans="2:10" x14ac:dyDescent="0.4">
      <c r="B60" s="86"/>
      <c r="C60" s="45">
        <f>(D59-C59)/H59</f>
        <v>1.9375000000000364E-2</v>
      </c>
      <c r="D60" s="88"/>
      <c r="E60" s="39"/>
      <c r="F60" s="50">
        <f>(D59-F59)/I59</f>
        <v>1.5625000000000222E-2</v>
      </c>
      <c r="G60" s="2"/>
      <c r="H60" s="38"/>
      <c r="I60" s="38"/>
    </row>
    <row r="61" spans="2:10" x14ac:dyDescent="0.4">
      <c r="B61" s="85" t="s">
        <v>39</v>
      </c>
      <c r="C61" s="46">
        <v>10.629</v>
      </c>
      <c r="D61" s="87">
        <v>10.686</v>
      </c>
      <c r="E61" s="35"/>
      <c r="F61" s="51">
        <v>10.638999999999999</v>
      </c>
      <c r="G61" s="2"/>
      <c r="H61" s="38">
        <v>3.19</v>
      </c>
      <c r="I61" s="38">
        <v>3.23</v>
      </c>
    </row>
    <row r="62" spans="2:10" x14ac:dyDescent="0.4">
      <c r="B62" s="86"/>
      <c r="C62" s="45">
        <f>(D61-C61)/H61</f>
        <v>1.786833855799385E-2</v>
      </c>
      <c r="D62" s="88"/>
      <c r="E62" s="39"/>
      <c r="F62" s="50">
        <f>(D61-F61)/I61</f>
        <v>1.4551083591331454E-2</v>
      </c>
      <c r="G62" s="2"/>
      <c r="H62" s="38"/>
      <c r="I62" s="38"/>
    </row>
    <row r="63" spans="2:10" x14ac:dyDescent="0.4">
      <c r="B63" s="85" t="s">
        <v>24</v>
      </c>
      <c r="C63" s="46">
        <v>10.673999999999999</v>
      </c>
      <c r="D63" s="87">
        <v>10.734999999999999</v>
      </c>
      <c r="E63" s="35"/>
      <c r="F63" s="51">
        <v>10.643000000000001</v>
      </c>
      <c r="G63" s="2"/>
      <c r="H63" s="38"/>
      <c r="I63" s="38"/>
    </row>
    <row r="64" spans="2:10" x14ac:dyDescent="0.4">
      <c r="B64" s="86"/>
      <c r="C64" s="45"/>
      <c r="D64" s="88"/>
      <c r="E64" s="39"/>
      <c r="F64" s="50"/>
      <c r="G64" s="2"/>
      <c r="H64" s="38"/>
      <c r="I64" s="38"/>
    </row>
    <row r="65" spans="2:9" x14ac:dyDescent="0.4">
      <c r="B65" s="85" t="s">
        <v>40</v>
      </c>
      <c r="C65" s="46">
        <v>10.631</v>
      </c>
      <c r="D65" s="87">
        <v>10.693</v>
      </c>
      <c r="E65" s="35"/>
      <c r="F65" s="51">
        <v>10.643000000000001</v>
      </c>
      <c r="G65" s="2"/>
      <c r="H65" s="38"/>
      <c r="I65" s="38"/>
    </row>
    <row r="66" spans="2:9" x14ac:dyDescent="0.4">
      <c r="B66" s="86"/>
      <c r="C66" s="45"/>
      <c r="D66" s="88"/>
      <c r="E66" s="39"/>
      <c r="F66" s="50"/>
      <c r="G66" s="2"/>
      <c r="H66" s="38"/>
      <c r="I66" s="38"/>
    </row>
    <row r="67" spans="2:9" x14ac:dyDescent="0.4">
      <c r="H67" s="38"/>
      <c r="I67" s="38"/>
    </row>
    <row r="68" spans="2:9" x14ac:dyDescent="0.4">
      <c r="H68" s="38"/>
      <c r="I68" s="38"/>
    </row>
    <row r="69" spans="2:9" x14ac:dyDescent="0.4">
      <c r="B69" s="30"/>
      <c r="C69" s="80" t="s">
        <v>30</v>
      </c>
      <c r="D69" s="80"/>
      <c r="E69" s="80"/>
      <c r="F69" s="81"/>
      <c r="H69" s="38"/>
      <c r="I69" s="38"/>
    </row>
    <row r="70" spans="2:9" x14ac:dyDescent="0.4">
      <c r="B70" s="30"/>
      <c r="C70" s="33" t="s">
        <v>26</v>
      </c>
      <c r="D70" s="52" t="s">
        <v>28</v>
      </c>
      <c r="E70" s="29"/>
      <c r="F70" s="48" t="s">
        <v>27</v>
      </c>
      <c r="H70" s="1" t="s">
        <v>26</v>
      </c>
      <c r="I70" s="1" t="s">
        <v>27</v>
      </c>
    </row>
    <row r="71" spans="2:9" x14ac:dyDescent="0.4">
      <c r="B71" s="30"/>
      <c r="C71" s="82" t="s">
        <v>29</v>
      </c>
      <c r="D71" s="83"/>
      <c r="E71" s="83"/>
      <c r="F71" s="84"/>
      <c r="H71" s="38"/>
      <c r="I71" s="38"/>
    </row>
    <row r="72" spans="2:9" x14ac:dyDescent="0.4">
      <c r="B72" s="85" t="s">
        <v>0</v>
      </c>
      <c r="C72" s="44">
        <v>10.64</v>
      </c>
      <c r="D72" s="87">
        <v>10.669</v>
      </c>
      <c r="E72" s="35"/>
      <c r="F72" s="49">
        <v>10.56</v>
      </c>
      <c r="H72" s="38">
        <v>3.26</v>
      </c>
      <c r="I72" s="38">
        <v>3.09</v>
      </c>
    </row>
    <row r="73" spans="2:9" s="8" customFormat="1" x14ac:dyDescent="0.4">
      <c r="B73" s="86"/>
      <c r="C73" s="45">
        <f>(D72-C72)/H72</f>
        <v>8.8957055214723673E-3</v>
      </c>
      <c r="D73" s="88"/>
      <c r="E73" s="39"/>
      <c r="F73" s="50">
        <f>(D72-F72)/I72</f>
        <v>3.5275080906148865E-2</v>
      </c>
      <c r="H73" s="42"/>
      <c r="I73" s="42"/>
    </row>
    <row r="74" spans="2:9" x14ac:dyDescent="0.4">
      <c r="B74" s="85" t="s">
        <v>1</v>
      </c>
      <c r="C74" s="46">
        <v>10.675000000000001</v>
      </c>
      <c r="D74" s="87">
        <v>10.677</v>
      </c>
      <c r="E74" s="35"/>
      <c r="F74" s="51">
        <v>10.587999999999999</v>
      </c>
      <c r="H74" s="38">
        <v>3.1</v>
      </c>
      <c r="I74" s="38">
        <v>3.2</v>
      </c>
    </row>
    <row r="75" spans="2:9" x14ac:dyDescent="0.4">
      <c r="B75" s="86"/>
      <c r="C75" s="45">
        <f>(D74-C74)/H74</f>
        <v>6.4516129032222307E-4</v>
      </c>
      <c r="D75" s="88"/>
      <c r="E75" s="39"/>
      <c r="F75" s="50">
        <f>(D74-F74)/I74</f>
        <v>2.7812500000000129E-2</v>
      </c>
      <c r="H75" s="38"/>
      <c r="I75" s="38"/>
    </row>
    <row r="76" spans="2:9" x14ac:dyDescent="0.4">
      <c r="B76" s="85" t="s">
        <v>41</v>
      </c>
      <c r="C76" s="46">
        <v>10.688000000000001</v>
      </c>
      <c r="D76" s="87">
        <v>10.702</v>
      </c>
      <c r="E76" s="35"/>
      <c r="F76" s="51">
        <v>10.603</v>
      </c>
      <c r="H76" s="38">
        <v>3.02</v>
      </c>
      <c r="I76" s="38">
        <v>3.13</v>
      </c>
    </row>
    <row r="77" spans="2:9" x14ac:dyDescent="0.4">
      <c r="B77" s="86"/>
      <c r="C77" s="45">
        <f>(D76-C76)/H76</f>
        <v>4.6357615894037571E-3</v>
      </c>
      <c r="D77" s="88"/>
      <c r="E77" s="39"/>
      <c r="F77" s="50">
        <f>(D76-F76)/I76</f>
        <v>3.1629392971246069E-2</v>
      </c>
      <c r="H77" s="38"/>
      <c r="I77" s="38"/>
    </row>
    <row r="78" spans="2:9" x14ac:dyDescent="0.4">
      <c r="B78" s="85" t="s">
        <v>2</v>
      </c>
      <c r="C78" s="46">
        <v>10.609</v>
      </c>
      <c r="D78" s="87">
        <v>10.669</v>
      </c>
      <c r="E78" s="35"/>
      <c r="F78" s="51">
        <v>10.605</v>
      </c>
      <c r="H78" s="38">
        <v>3.23</v>
      </c>
      <c r="I78" s="38">
        <v>3.15</v>
      </c>
    </row>
    <row r="79" spans="2:9" x14ac:dyDescent="0.4">
      <c r="B79" s="86"/>
      <c r="C79" s="45">
        <f>(D78-C78)/H78</f>
        <v>1.857585139318901E-2</v>
      </c>
      <c r="D79" s="88"/>
      <c r="E79" s="39"/>
      <c r="F79" s="50">
        <f>(D78-F78)/I78</f>
        <v>2.0317460317460335E-2</v>
      </c>
      <c r="H79" s="38"/>
      <c r="I79" s="38"/>
    </row>
    <row r="80" spans="2:9" x14ac:dyDescent="0.4">
      <c r="B80" s="85" t="s">
        <v>42</v>
      </c>
      <c r="C80" s="46">
        <v>10.553000000000001</v>
      </c>
      <c r="D80" s="87">
        <v>10.643000000000001</v>
      </c>
      <c r="E80" s="35"/>
      <c r="F80" s="51">
        <v>10.569000000000001</v>
      </c>
      <c r="H80" s="38">
        <v>3.15</v>
      </c>
      <c r="I80" s="38">
        <v>3.1</v>
      </c>
    </row>
    <row r="81" spans="2:9" x14ac:dyDescent="0.4">
      <c r="B81" s="86"/>
      <c r="C81" s="45">
        <f>(D80-C80)/H80</f>
        <v>2.8571428571428525E-2</v>
      </c>
      <c r="D81" s="88"/>
      <c r="E81" s="39"/>
      <c r="F81" s="50">
        <f>(D80-F80)/I80</f>
        <v>2.3870967741935433E-2</v>
      </c>
      <c r="H81" s="38"/>
      <c r="I81" s="38"/>
    </row>
  </sheetData>
  <mergeCells count="76">
    <mergeCell ref="B78:B79"/>
    <mergeCell ref="D78:D79"/>
    <mergeCell ref="B80:B81"/>
    <mergeCell ref="D80:D81"/>
    <mergeCell ref="B72:B73"/>
    <mergeCell ref="D72:D73"/>
    <mergeCell ref="B74:B75"/>
    <mergeCell ref="D74:D75"/>
    <mergeCell ref="B76:B77"/>
    <mergeCell ref="D76:D77"/>
    <mergeCell ref="C71:F71"/>
    <mergeCell ref="B57:B58"/>
    <mergeCell ref="D57:D58"/>
    <mergeCell ref="B59:B60"/>
    <mergeCell ref="D59:D60"/>
    <mergeCell ref="B61:B62"/>
    <mergeCell ref="D61:D62"/>
    <mergeCell ref="B63:B64"/>
    <mergeCell ref="D63:D64"/>
    <mergeCell ref="B65:B66"/>
    <mergeCell ref="D65:D66"/>
    <mergeCell ref="C69:F69"/>
    <mergeCell ref="B51:B52"/>
    <mergeCell ref="D51:D52"/>
    <mergeCell ref="B53:B54"/>
    <mergeCell ref="D53:D54"/>
    <mergeCell ref="B55:B56"/>
    <mergeCell ref="D55:D56"/>
    <mergeCell ref="B45:B46"/>
    <mergeCell ref="D45:D46"/>
    <mergeCell ref="B47:B48"/>
    <mergeCell ref="D47:D48"/>
    <mergeCell ref="B49:B50"/>
    <mergeCell ref="D49:D50"/>
    <mergeCell ref="B39:B40"/>
    <mergeCell ref="D39:D40"/>
    <mergeCell ref="B41:B42"/>
    <mergeCell ref="D41:D42"/>
    <mergeCell ref="B43:B44"/>
    <mergeCell ref="D43:D44"/>
    <mergeCell ref="B33:B34"/>
    <mergeCell ref="D33:D34"/>
    <mergeCell ref="B35:B36"/>
    <mergeCell ref="D35:D36"/>
    <mergeCell ref="B37:B38"/>
    <mergeCell ref="D37:D38"/>
    <mergeCell ref="B27:B28"/>
    <mergeCell ref="D27:D28"/>
    <mergeCell ref="B29:B30"/>
    <mergeCell ref="D29:D30"/>
    <mergeCell ref="B31:B32"/>
    <mergeCell ref="D31:D32"/>
    <mergeCell ref="B21:B22"/>
    <mergeCell ref="D21:D22"/>
    <mergeCell ref="B23:B24"/>
    <mergeCell ref="D23:D24"/>
    <mergeCell ref="B25:B26"/>
    <mergeCell ref="D25:D26"/>
    <mergeCell ref="B15:B16"/>
    <mergeCell ref="D15:D16"/>
    <mergeCell ref="B17:B18"/>
    <mergeCell ref="D17:D18"/>
    <mergeCell ref="B19:B20"/>
    <mergeCell ref="D19:D20"/>
    <mergeCell ref="B9:B10"/>
    <mergeCell ref="D9:D10"/>
    <mergeCell ref="B11:B12"/>
    <mergeCell ref="D11:D12"/>
    <mergeCell ref="B13:B14"/>
    <mergeCell ref="D13:D14"/>
    <mergeCell ref="C2:F2"/>
    <mergeCell ref="C4:F4"/>
    <mergeCell ref="B5:B6"/>
    <mergeCell ref="D5:D6"/>
    <mergeCell ref="B7:B8"/>
    <mergeCell ref="D7:D8"/>
  </mergeCells>
  <phoneticPr fontId="1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CA65-7061-4594-997A-3CDA850CA177}">
  <sheetPr>
    <tabColor theme="8" tint="0.79998168889431442"/>
  </sheetPr>
  <dimension ref="B2:J81"/>
  <sheetViews>
    <sheetView topLeftCell="A55" workbookViewId="0">
      <selection activeCell="N80" sqref="N80"/>
    </sheetView>
  </sheetViews>
  <sheetFormatPr defaultRowHeight="18.75" x14ac:dyDescent="0.4"/>
  <cols>
    <col min="2" max="2" width="25.625" style="31" customWidth="1"/>
    <col min="3" max="4" width="8.875" style="47" customWidth="1"/>
    <col min="5" max="5" width="8.875" style="34" customWidth="1"/>
    <col min="6" max="6" width="9" style="47"/>
    <col min="8" max="9" width="9" style="1"/>
  </cols>
  <sheetData>
    <row r="2" spans="2:10" x14ac:dyDescent="0.4">
      <c r="B2" s="30"/>
      <c r="C2" s="80" t="s">
        <v>45</v>
      </c>
      <c r="D2" s="80"/>
      <c r="E2" s="80"/>
      <c r="F2" s="81"/>
      <c r="G2" s="1"/>
    </row>
    <row r="3" spans="2:10" x14ac:dyDescent="0.4">
      <c r="B3" s="30"/>
      <c r="C3" s="33" t="s">
        <v>26</v>
      </c>
      <c r="D3" s="52" t="s">
        <v>28</v>
      </c>
      <c r="E3" s="37" t="s">
        <v>43</v>
      </c>
      <c r="F3" s="48" t="s">
        <v>27</v>
      </c>
      <c r="G3" s="1"/>
      <c r="H3" s="1" t="s">
        <v>26</v>
      </c>
      <c r="I3" s="1" t="s">
        <v>27</v>
      </c>
      <c r="J3" s="55" t="s">
        <v>43</v>
      </c>
    </row>
    <row r="4" spans="2:10" x14ac:dyDescent="0.4">
      <c r="B4" s="30"/>
      <c r="C4" s="82" t="s">
        <v>29</v>
      </c>
      <c r="D4" s="83"/>
      <c r="E4" s="83"/>
      <c r="F4" s="84"/>
      <c r="G4" s="1"/>
    </row>
    <row r="5" spans="2:10" x14ac:dyDescent="0.4">
      <c r="B5" s="85" t="s">
        <v>0</v>
      </c>
      <c r="C5" s="44">
        <v>9.7159999999999993</v>
      </c>
      <c r="D5" s="87">
        <v>9.81</v>
      </c>
      <c r="E5" s="35"/>
      <c r="F5" s="49">
        <v>9.6809999999999992</v>
      </c>
      <c r="G5" s="1"/>
      <c r="H5" s="38">
        <v>2.99</v>
      </c>
      <c r="I5" s="38">
        <v>5.38</v>
      </c>
    </row>
    <row r="6" spans="2:10" s="8" customFormat="1" x14ac:dyDescent="0.4">
      <c r="B6" s="86"/>
      <c r="C6" s="45">
        <f>(D5-C5)/H5</f>
        <v>3.1438127090301402E-2</v>
      </c>
      <c r="D6" s="88"/>
      <c r="E6" s="39"/>
      <c r="F6" s="50">
        <f>(D5-F5)/I5</f>
        <v>2.3977695167286494E-2</v>
      </c>
      <c r="G6" s="40"/>
      <c r="H6" s="41"/>
      <c r="I6" s="41"/>
    </row>
    <row r="7" spans="2:10" x14ac:dyDescent="0.4">
      <c r="B7" s="85" t="s">
        <v>1</v>
      </c>
      <c r="C7" s="46">
        <v>9.8249999999999993</v>
      </c>
      <c r="D7" s="87">
        <v>9.8510000000000009</v>
      </c>
      <c r="E7" s="35"/>
      <c r="F7" s="51">
        <v>9.7430000000000003</v>
      </c>
      <c r="G7" s="2"/>
      <c r="H7" s="38">
        <v>2.97</v>
      </c>
      <c r="I7" s="38">
        <v>5.4</v>
      </c>
    </row>
    <row r="8" spans="2:10" x14ac:dyDescent="0.4">
      <c r="B8" s="86"/>
      <c r="C8" s="45">
        <f>(D7-C7)/H7</f>
        <v>8.7542087542092847E-3</v>
      </c>
      <c r="D8" s="88"/>
      <c r="E8" s="39"/>
      <c r="F8" s="50">
        <f>(D7-F7)/I7</f>
        <v>2.0000000000000098E-2</v>
      </c>
      <c r="G8" s="2"/>
      <c r="H8" s="38"/>
      <c r="I8" s="38"/>
    </row>
    <row r="9" spans="2:10" x14ac:dyDescent="0.4">
      <c r="B9" s="85" t="s">
        <v>2</v>
      </c>
      <c r="C9" s="46">
        <v>9.8689999999999998</v>
      </c>
      <c r="D9" s="87">
        <v>9.8919999999999995</v>
      </c>
      <c r="E9" s="35"/>
      <c r="F9" s="51">
        <v>9.8350000000000009</v>
      </c>
      <c r="G9" s="2"/>
      <c r="H9" s="38">
        <v>2.95</v>
      </c>
      <c r="I9" s="38">
        <v>5.4</v>
      </c>
    </row>
    <row r="10" spans="2:10" x14ac:dyDescent="0.4">
      <c r="B10" s="86"/>
      <c r="C10" s="45">
        <f>(D9-C9)/H9</f>
        <v>7.796610169491419E-3</v>
      </c>
      <c r="D10" s="88"/>
      <c r="E10" s="39"/>
      <c r="F10" s="50">
        <f>(D9-F9)/I9</f>
        <v>1.0555555555555297E-2</v>
      </c>
      <c r="G10" s="2"/>
      <c r="H10" s="38"/>
      <c r="I10" s="38"/>
    </row>
    <row r="11" spans="2:10" x14ac:dyDescent="0.4">
      <c r="B11" s="85" t="s">
        <v>3</v>
      </c>
      <c r="C11" s="46">
        <v>9.8829999999999991</v>
      </c>
      <c r="D11" s="87">
        <v>9.9329999999999998</v>
      </c>
      <c r="E11" s="35"/>
      <c r="F11" s="51">
        <v>9.8780000000000001</v>
      </c>
      <c r="G11" s="2"/>
      <c r="H11" s="38">
        <v>2.92</v>
      </c>
      <c r="I11" s="38">
        <v>5.25</v>
      </c>
    </row>
    <row r="12" spans="2:10" x14ac:dyDescent="0.4">
      <c r="B12" s="86"/>
      <c r="C12" s="45">
        <f>(D11-C11)/H11</f>
        <v>1.7123287671233122E-2</v>
      </c>
      <c r="D12" s="88"/>
      <c r="E12" s="39"/>
      <c r="F12" s="50">
        <f>(D11-F11)/I11</f>
        <v>1.0476190476190422E-2</v>
      </c>
      <c r="G12" s="2"/>
      <c r="H12" s="38"/>
      <c r="I12" s="38"/>
    </row>
    <row r="13" spans="2:10" x14ac:dyDescent="0.4">
      <c r="B13" s="89" t="s">
        <v>34</v>
      </c>
      <c r="C13" s="46">
        <v>9.8719999999999999</v>
      </c>
      <c r="D13" s="87">
        <v>9.9559999999999995</v>
      </c>
      <c r="E13" s="36">
        <v>9.9550000000000001</v>
      </c>
      <c r="F13" s="51">
        <v>9.8729999999999993</v>
      </c>
      <c r="G13" s="2"/>
      <c r="H13" s="38">
        <v>2.93</v>
      </c>
      <c r="I13" s="38">
        <v>5.13</v>
      </c>
      <c r="J13">
        <v>1.4</v>
      </c>
    </row>
    <row r="14" spans="2:10" x14ac:dyDescent="0.4">
      <c r="B14" s="90"/>
      <c r="C14" s="45">
        <f>(D13-C13)/H13</f>
        <v>2.8668941979522057E-2</v>
      </c>
      <c r="D14" s="88"/>
      <c r="E14" s="39">
        <f>D13-(F14*J13)</f>
        <v>9.9333489278752438</v>
      </c>
      <c r="F14" s="50">
        <f>(D13-F13)/I13</f>
        <v>1.6179337231968849E-2</v>
      </c>
      <c r="G14" s="2"/>
      <c r="H14" s="38"/>
      <c r="I14" s="38"/>
    </row>
    <row r="15" spans="2:10" x14ac:dyDescent="0.4">
      <c r="B15" s="85" t="s">
        <v>5</v>
      </c>
      <c r="C15" s="46">
        <v>9.9030000000000005</v>
      </c>
      <c r="D15" s="87">
        <v>9.9740000000000002</v>
      </c>
      <c r="E15" s="35"/>
      <c r="F15" s="51">
        <v>9.8839999999999986</v>
      </c>
      <c r="G15" s="2"/>
      <c r="H15" s="38">
        <v>3</v>
      </c>
      <c r="I15" s="38">
        <v>4.97</v>
      </c>
    </row>
    <row r="16" spans="2:10" x14ac:dyDescent="0.4">
      <c r="B16" s="86"/>
      <c r="C16" s="45">
        <f>(D15-C15)/H15</f>
        <v>2.3666666666666576E-2</v>
      </c>
      <c r="D16" s="88"/>
      <c r="E16" s="39"/>
      <c r="F16" s="50">
        <f>(D15-F15)/I15</f>
        <v>1.8108651911469143E-2</v>
      </c>
      <c r="G16" s="2"/>
      <c r="H16" s="38"/>
      <c r="I16" s="38"/>
    </row>
    <row r="17" spans="2:10" x14ac:dyDescent="0.4">
      <c r="B17" s="85" t="s">
        <v>6</v>
      </c>
      <c r="C17" s="46">
        <v>9.9260000000000002</v>
      </c>
      <c r="D17" s="87">
        <v>10.015000000000001</v>
      </c>
      <c r="E17" s="35"/>
      <c r="F17" s="51">
        <v>9.9120000000000008</v>
      </c>
      <c r="G17" s="2"/>
      <c r="H17" s="38">
        <v>3.05</v>
      </c>
      <c r="I17" s="38">
        <v>4.46</v>
      </c>
    </row>
    <row r="18" spans="2:10" x14ac:dyDescent="0.4">
      <c r="B18" s="86"/>
      <c r="C18" s="45">
        <f>(D17-C17)/H17</f>
        <v>2.9180327868852596E-2</v>
      </c>
      <c r="D18" s="88"/>
      <c r="E18" s="39"/>
      <c r="F18" s="50">
        <f>(D17-F17)/I17</f>
        <v>2.309417040358739E-2</v>
      </c>
      <c r="G18" s="2"/>
      <c r="H18" s="38"/>
      <c r="I18" s="38"/>
    </row>
    <row r="19" spans="2:10" x14ac:dyDescent="0.4">
      <c r="B19" s="85" t="s">
        <v>7</v>
      </c>
      <c r="C19" s="46">
        <v>10.038</v>
      </c>
      <c r="D19" s="87">
        <v>10.055</v>
      </c>
      <c r="E19" s="35"/>
      <c r="F19" s="51">
        <v>9.9559999999999995</v>
      </c>
      <c r="G19" s="2"/>
      <c r="H19" s="38">
        <v>3.2</v>
      </c>
      <c r="I19" s="38">
        <v>3.9</v>
      </c>
    </row>
    <row r="20" spans="2:10" x14ac:dyDescent="0.4">
      <c r="B20" s="86"/>
      <c r="C20" s="45">
        <f>(D19-C19)/H19</f>
        <v>5.3124999999998312E-3</v>
      </c>
      <c r="D20" s="88"/>
      <c r="E20" s="39"/>
      <c r="F20" s="50">
        <f>(D19-F19)/I19</f>
        <v>2.5384615384615436E-2</v>
      </c>
      <c r="G20" s="2"/>
      <c r="H20" s="38"/>
      <c r="I20" s="38"/>
    </row>
    <row r="21" spans="2:10" x14ac:dyDescent="0.4">
      <c r="B21" s="89" t="s">
        <v>35</v>
      </c>
      <c r="C21" s="46">
        <v>10.052</v>
      </c>
      <c r="D21" s="87">
        <v>10.055</v>
      </c>
      <c r="E21" s="36">
        <v>10.039</v>
      </c>
      <c r="F21" s="51">
        <v>9.9589999999999996</v>
      </c>
      <c r="G21" s="2"/>
      <c r="H21" s="38">
        <v>3.14</v>
      </c>
      <c r="I21" s="38">
        <v>3.79</v>
      </c>
      <c r="J21" s="54">
        <v>1</v>
      </c>
    </row>
    <row r="22" spans="2:10" x14ac:dyDescent="0.4">
      <c r="B22" s="90"/>
      <c r="C22" s="45">
        <f>(D21-C21)/H21</f>
        <v>9.5541401273888972E-4</v>
      </c>
      <c r="D22" s="88"/>
      <c r="E22" s="39">
        <f>D21-(F22*J21)</f>
        <v>10.02967018469657</v>
      </c>
      <c r="F22" s="50">
        <f>(D21-F21)/I21</f>
        <v>2.5329815303430103E-2</v>
      </c>
      <c r="G22" s="2"/>
      <c r="H22" s="38"/>
      <c r="I22" s="38"/>
    </row>
    <row r="23" spans="2:10" x14ac:dyDescent="0.4">
      <c r="B23" s="85" t="s">
        <v>8</v>
      </c>
      <c r="C23" s="46">
        <v>10.002000000000001</v>
      </c>
      <c r="D23" s="87">
        <v>10.055</v>
      </c>
      <c r="E23" s="35"/>
      <c r="F23" s="51">
        <v>9.968</v>
      </c>
      <c r="G23" s="2"/>
      <c r="H23" s="38">
        <v>3.18</v>
      </c>
      <c r="I23" s="38">
        <v>3.47</v>
      </c>
    </row>
    <row r="24" spans="2:10" x14ac:dyDescent="0.4">
      <c r="B24" s="86"/>
      <c r="C24" s="45">
        <f>(D23-C23)/H23</f>
        <v>1.6666666666666368E-2</v>
      </c>
      <c r="D24" s="88"/>
      <c r="E24" s="39"/>
      <c r="F24" s="50">
        <f>(D23-F23)/I23</f>
        <v>2.5072046109510013E-2</v>
      </c>
      <c r="G24" s="2"/>
      <c r="H24" s="38"/>
      <c r="I24" s="38"/>
    </row>
    <row r="25" spans="2:10" x14ac:dyDescent="0.4">
      <c r="B25" s="85" t="s">
        <v>9</v>
      </c>
      <c r="C25" s="46">
        <v>9.9960000000000004</v>
      </c>
      <c r="D25" s="87">
        <v>10.055</v>
      </c>
      <c r="E25" s="35"/>
      <c r="F25" s="51">
        <v>9.9920000000000009</v>
      </c>
      <c r="G25" s="2"/>
      <c r="H25" s="38">
        <v>3.2</v>
      </c>
      <c r="I25" s="38">
        <v>3.2</v>
      </c>
    </row>
    <row r="26" spans="2:10" x14ac:dyDescent="0.4">
      <c r="B26" s="86"/>
      <c r="C26" s="45">
        <f>(D25-C25)/H25</f>
        <v>1.8437499999999774E-2</v>
      </c>
      <c r="D26" s="88"/>
      <c r="E26" s="39"/>
      <c r="F26" s="50">
        <f>(D25-F25)/I25</f>
        <v>1.9687499999999636E-2</v>
      </c>
      <c r="G26" s="2"/>
      <c r="H26" s="38"/>
      <c r="I26" s="38"/>
    </row>
    <row r="27" spans="2:10" x14ac:dyDescent="0.4">
      <c r="B27" s="85" t="s">
        <v>31</v>
      </c>
      <c r="C27" s="46">
        <v>10.002000000000001</v>
      </c>
      <c r="D27" s="87">
        <v>10.076000000000001</v>
      </c>
      <c r="E27" s="35"/>
      <c r="F27" s="51">
        <v>9.9990000000000006</v>
      </c>
      <c r="G27" s="2"/>
      <c r="H27" s="38">
        <v>3.19</v>
      </c>
      <c r="I27" s="38">
        <v>3.18</v>
      </c>
    </row>
    <row r="28" spans="2:10" x14ac:dyDescent="0.4">
      <c r="B28" s="86"/>
      <c r="C28" s="45">
        <f>(D27-C27)/H27</f>
        <v>2.3197492163009356E-2</v>
      </c>
      <c r="D28" s="88"/>
      <c r="E28" s="39"/>
      <c r="F28" s="50">
        <f>(D27-F27)/I27</f>
        <v>2.4213836477987406E-2</v>
      </c>
      <c r="G28" s="2"/>
      <c r="H28" s="38"/>
      <c r="I28" s="38"/>
    </row>
    <row r="29" spans="2:10" x14ac:dyDescent="0.4">
      <c r="B29" s="85" t="s">
        <v>11</v>
      </c>
      <c r="C29" s="46">
        <v>10.019</v>
      </c>
      <c r="D29" s="87">
        <v>10.097</v>
      </c>
      <c r="E29" s="35"/>
      <c r="F29" s="51">
        <v>10.023999999999999</v>
      </c>
      <c r="G29" s="2"/>
      <c r="H29" s="38">
        <v>3.2</v>
      </c>
      <c r="I29" s="38">
        <v>3.18</v>
      </c>
    </row>
    <row r="30" spans="2:10" x14ac:dyDescent="0.4">
      <c r="B30" s="86"/>
      <c r="C30" s="45">
        <f>(D29-C29)/H29</f>
        <v>2.4374999999999813E-2</v>
      </c>
      <c r="D30" s="88"/>
      <c r="E30" s="39"/>
      <c r="F30" s="50">
        <f>(D29-F29)/I29</f>
        <v>2.2955974842767419E-2</v>
      </c>
      <c r="G30" s="2"/>
      <c r="H30" s="38"/>
      <c r="I30" s="38"/>
    </row>
    <row r="31" spans="2:10" x14ac:dyDescent="0.4">
      <c r="B31" s="85" t="s">
        <v>12</v>
      </c>
      <c r="C31" s="46">
        <v>10.037000000000001</v>
      </c>
      <c r="D31" s="87">
        <v>10.118</v>
      </c>
      <c r="E31" s="35"/>
      <c r="F31" s="51">
        <v>10.035</v>
      </c>
      <c r="G31" s="2"/>
      <c r="H31" s="38">
        <v>3.18</v>
      </c>
      <c r="I31" s="38">
        <v>3.2</v>
      </c>
    </row>
    <row r="32" spans="2:10" x14ac:dyDescent="0.4">
      <c r="B32" s="86"/>
      <c r="C32" s="45">
        <f>(D31-C31)/H31</f>
        <v>2.5471698113207392E-2</v>
      </c>
      <c r="D32" s="88"/>
      <c r="E32" s="39"/>
      <c r="F32" s="50">
        <f>(D31-F31)/I31</f>
        <v>2.5937500000000058E-2</v>
      </c>
      <c r="G32" s="2"/>
      <c r="H32" s="38"/>
      <c r="I32" s="38"/>
    </row>
    <row r="33" spans="2:10" x14ac:dyDescent="0.4">
      <c r="B33" s="85" t="s">
        <v>13</v>
      </c>
      <c r="C33" s="46">
        <v>10.103</v>
      </c>
      <c r="D33" s="87">
        <v>10.138999999999999</v>
      </c>
      <c r="E33" s="35"/>
      <c r="F33" s="51">
        <v>10.071999999999999</v>
      </c>
      <c r="G33" s="2"/>
      <c r="H33" s="38">
        <v>3.2</v>
      </c>
      <c r="I33" s="38">
        <v>3.2</v>
      </c>
    </row>
    <row r="34" spans="2:10" x14ac:dyDescent="0.4">
      <c r="B34" s="86"/>
      <c r="C34" s="45">
        <f>(D33-C33)/H33</f>
        <v>1.1249999999999871E-2</v>
      </c>
      <c r="D34" s="88"/>
      <c r="E34" s="39"/>
      <c r="F34" s="50">
        <f>(D33-F33)/I33</f>
        <v>2.0937500000000053E-2</v>
      </c>
      <c r="G34" s="2"/>
      <c r="H34" s="38"/>
      <c r="I34" s="38"/>
    </row>
    <row r="35" spans="2:10" x14ac:dyDescent="0.4">
      <c r="B35" s="89" t="s">
        <v>36</v>
      </c>
      <c r="C35" s="46">
        <v>10.132</v>
      </c>
      <c r="D35" s="87">
        <v>10.15</v>
      </c>
      <c r="E35" s="36">
        <v>10.134</v>
      </c>
      <c r="F35" s="51">
        <v>10.07</v>
      </c>
      <c r="G35" s="2"/>
      <c r="H35" s="38">
        <v>3.18</v>
      </c>
      <c r="I35" s="38">
        <v>3.2</v>
      </c>
      <c r="J35">
        <v>0.8</v>
      </c>
    </row>
    <row r="36" spans="2:10" x14ac:dyDescent="0.4">
      <c r="B36" s="90"/>
      <c r="C36" s="45">
        <f>(D35-C35)/H35</f>
        <v>5.6603773584907799E-3</v>
      </c>
      <c r="D36" s="88"/>
      <c r="E36" s="39">
        <f>D35-(F36*J35)</f>
        <v>10.130000000000001</v>
      </c>
      <c r="F36" s="50">
        <f>(D35-F35)/I35</f>
        <v>2.5000000000000022E-2</v>
      </c>
      <c r="G36" s="2"/>
      <c r="H36" s="38"/>
      <c r="I36" s="38"/>
    </row>
    <row r="37" spans="2:10" x14ac:dyDescent="0.4">
      <c r="B37" s="85" t="s">
        <v>14</v>
      </c>
      <c r="C37" s="46">
        <v>10.108000000000001</v>
      </c>
      <c r="D37" s="87">
        <v>10.166</v>
      </c>
      <c r="E37" s="35"/>
      <c r="F37" s="51">
        <v>10.098000000000001</v>
      </c>
      <c r="G37" s="2"/>
      <c r="H37" s="38">
        <v>3.18</v>
      </c>
      <c r="I37" s="38">
        <v>3.2</v>
      </c>
    </row>
    <row r="38" spans="2:10" x14ac:dyDescent="0.4">
      <c r="B38" s="86"/>
      <c r="C38" s="45">
        <f>(D37-C37)/H37</f>
        <v>1.8238993710691768E-2</v>
      </c>
      <c r="D38" s="88"/>
      <c r="E38" s="39"/>
      <c r="F38" s="50">
        <f>(D37-F37)/I37</f>
        <v>2.124999999999988E-2</v>
      </c>
      <c r="G38" s="2"/>
      <c r="H38" s="38"/>
      <c r="I38" s="38"/>
    </row>
    <row r="39" spans="2:10" x14ac:dyDescent="0.4">
      <c r="B39" s="85" t="s">
        <v>15</v>
      </c>
      <c r="C39" s="46">
        <v>10.14</v>
      </c>
      <c r="D39" s="87">
        <v>10.193</v>
      </c>
      <c r="E39" s="35"/>
      <c r="F39" s="51">
        <v>10.141999999999999</v>
      </c>
      <c r="G39" s="2"/>
      <c r="H39" s="38">
        <v>3.18</v>
      </c>
      <c r="I39" s="38">
        <v>3.19</v>
      </c>
    </row>
    <row r="40" spans="2:10" x14ac:dyDescent="0.4">
      <c r="B40" s="86"/>
      <c r="C40" s="45">
        <f>(D39-C39)/H39</f>
        <v>1.6666666666666368E-2</v>
      </c>
      <c r="D40" s="88"/>
      <c r="E40" s="39"/>
      <c r="F40" s="50">
        <f>(D39-F39)/I39</f>
        <v>1.598746081504707E-2</v>
      </c>
      <c r="G40" s="2"/>
      <c r="H40" s="38"/>
      <c r="I40" s="38"/>
    </row>
    <row r="41" spans="2:10" x14ac:dyDescent="0.4">
      <c r="B41" s="85" t="s">
        <v>16</v>
      </c>
      <c r="C41" s="46">
        <v>10.196</v>
      </c>
      <c r="D41" s="87">
        <v>10.25</v>
      </c>
      <c r="E41" s="35"/>
      <c r="F41" s="51">
        <v>10.19</v>
      </c>
      <c r="G41" s="2"/>
      <c r="H41" s="38">
        <v>3.18</v>
      </c>
      <c r="I41" s="38">
        <v>3.19</v>
      </c>
    </row>
    <row r="42" spans="2:10" x14ac:dyDescent="0.4">
      <c r="B42" s="86"/>
      <c r="C42" s="45">
        <f>(D41-C41)/H41</f>
        <v>1.6981132075471781E-2</v>
      </c>
      <c r="D42" s="88"/>
      <c r="E42" s="39"/>
      <c r="F42" s="50">
        <f>(D41-F41)/I41</f>
        <v>1.8808777429467242E-2</v>
      </c>
      <c r="G42" s="2"/>
      <c r="H42" s="38"/>
      <c r="I42" s="38"/>
    </row>
    <row r="43" spans="2:10" x14ac:dyDescent="0.4">
      <c r="B43" s="85" t="s">
        <v>17</v>
      </c>
      <c r="C43" s="46">
        <v>10.236000000000001</v>
      </c>
      <c r="D43" s="87">
        <v>10.307</v>
      </c>
      <c r="E43" s="35"/>
      <c r="F43" s="51">
        <v>10.234</v>
      </c>
      <c r="G43" s="2"/>
      <c r="H43" s="38">
        <v>3.17</v>
      </c>
      <c r="I43" s="38">
        <v>3.19</v>
      </c>
    </row>
    <row r="44" spans="2:10" x14ac:dyDescent="0.4">
      <c r="B44" s="86"/>
      <c r="C44" s="45">
        <f>(D43-C43)/H43</f>
        <v>2.239747634069392E-2</v>
      </c>
      <c r="D44" s="88"/>
      <c r="E44" s="39"/>
      <c r="F44" s="50">
        <f>(D43-F43)/I43</f>
        <v>2.2884012539185077E-2</v>
      </c>
      <c r="G44" s="2"/>
      <c r="H44" s="38"/>
      <c r="I44" s="38"/>
    </row>
    <row r="45" spans="2:10" x14ac:dyDescent="0.4">
      <c r="B45" s="85" t="s">
        <v>18</v>
      </c>
      <c r="C45" s="46">
        <v>10.359</v>
      </c>
      <c r="D45" s="87">
        <v>10.364000000000001</v>
      </c>
      <c r="E45" s="35"/>
      <c r="F45" s="51">
        <v>10.398999999999999</v>
      </c>
      <c r="G45" s="2"/>
      <c r="H45" s="38">
        <v>3.2</v>
      </c>
      <c r="I45" s="38">
        <v>3.2</v>
      </c>
    </row>
    <row r="46" spans="2:10" x14ac:dyDescent="0.4">
      <c r="B46" s="86"/>
      <c r="C46" s="45">
        <f>(D45-C45)/H45</f>
        <v>1.5625000000002442E-3</v>
      </c>
      <c r="D46" s="88"/>
      <c r="E46" s="39"/>
      <c r="F46" s="50">
        <f>(D45-F45)/I45</f>
        <v>-1.0937499999999489E-2</v>
      </c>
      <c r="G46" s="2"/>
      <c r="H46" s="38"/>
      <c r="I46" s="38"/>
    </row>
    <row r="47" spans="2:10" x14ac:dyDescent="0.4">
      <c r="B47" s="89" t="s">
        <v>37</v>
      </c>
      <c r="C47" s="46">
        <v>10.372</v>
      </c>
      <c r="D47" s="87">
        <v>10.379</v>
      </c>
      <c r="E47" s="36">
        <v>10.375</v>
      </c>
      <c r="F47" s="51">
        <v>10.385999999999999</v>
      </c>
      <c r="G47" s="2"/>
      <c r="H47" s="38">
        <v>3.18</v>
      </c>
      <c r="I47" s="38">
        <v>3.2</v>
      </c>
      <c r="J47">
        <v>0.8</v>
      </c>
    </row>
    <row r="48" spans="2:10" x14ac:dyDescent="0.4">
      <c r="B48" s="90"/>
      <c r="C48" s="45">
        <f>(D47-C47)/H47</f>
        <v>2.2012578616351173E-3</v>
      </c>
      <c r="D48" s="88"/>
      <c r="E48" s="39">
        <f>D47-(F48*J47)</f>
        <v>10.380749999999999</v>
      </c>
      <c r="F48" s="50">
        <f>(D47-F47)/I47</f>
        <v>-2.1874999999998979E-3</v>
      </c>
      <c r="G48" s="2"/>
      <c r="H48" s="38"/>
      <c r="I48" s="38"/>
    </row>
    <row r="49" spans="2:10" x14ac:dyDescent="0.4">
      <c r="B49" s="85" t="s">
        <v>19</v>
      </c>
      <c r="C49" s="46">
        <v>10.365</v>
      </c>
      <c r="D49" s="87">
        <v>10.426</v>
      </c>
      <c r="E49" s="35"/>
      <c r="F49" s="51">
        <v>10.348000000000001</v>
      </c>
      <c r="G49" s="2"/>
      <c r="H49" s="38">
        <v>3.22</v>
      </c>
      <c r="I49" s="38">
        <v>3.2</v>
      </c>
    </row>
    <row r="50" spans="2:10" x14ac:dyDescent="0.4">
      <c r="B50" s="86"/>
      <c r="C50" s="45">
        <f>(D49-C49)/H49</f>
        <v>1.894409937888197E-2</v>
      </c>
      <c r="D50" s="88"/>
      <c r="E50" s="39"/>
      <c r="F50" s="50">
        <f>(D49-F49)/I49</f>
        <v>2.4374999999999813E-2</v>
      </c>
      <c r="G50" s="2"/>
      <c r="H50" s="38"/>
      <c r="I50" s="38"/>
    </row>
    <row r="51" spans="2:10" x14ac:dyDescent="0.4">
      <c r="B51" s="85" t="s">
        <v>20</v>
      </c>
      <c r="C51" s="46">
        <v>10.404</v>
      </c>
      <c r="D51" s="87">
        <v>10.488</v>
      </c>
      <c r="E51" s="35"/>
      <c r="F51" s="51">
        <v>10.419</v>
      </c>
      <c r="G51" s="2"/>
      <c r="H51" s="38">
        <v>3.18</v>
      </c>
      <c r="I51" s="38">
        <v>3.2</v>
      </c>
    </row>
    <row r="52" spans="2:10" x14ac:dyDescent="0.4">
      <c r="B52" s="86"/>
      <c r="C52" s="45">
        <f>(D51-C51)/H51</f>
        <v>2.6415094339622525E-2</v>
      </c>
      <c r="D52" s="88"/>
      <c r="E52" s="39"/>
      <c r="F52" s="50">
        <f>(D51-F51)/I51</f>
        <v>2.1562499999999707E-2</v>
      </c>
      <c r="G52" s="2"/>
      <c r="H52" s="38"/>
      <c r="I52" s="38"/>
    </row>
    <row r="53" spans="2:10" x14ac:dyDescent="0.4">
      <c r="B53" s="85" t="s">
        <v>21</v>
      </c>
      <c r="C53" s="46">
        <v>10.478</v>
      </c>
      <c r="D53" s="87">
        <v>10.55</v>
      </c>
      <c r="E53" s="35"/>
      <c r="F53" s="51">
        <v>10.481999999999999</v>
      </c>
      <c r="G53" s="2"/>
      <c r="H53" s="38">
        <v>3.2</v>
      </c>
      <c r="I53" s="38">
        <v>3.2</v>
      </c>
    </row>
    <row r="54" spans="2:10" x14ac:dyDescent="0.4">
      <c r="B54" s="86"/>
      <c r="C54" s="45">
        <f>(D53-C53)/H53</f>
        <v>2.2500000000000298E-2</v>
      </c>
      <c r="D54" s="88"/>
      <c r="E54" s="39"/>
      <c r="F54" s="50">
        <f>(D53-F53)/I53</f>
        <v>2.1250000000000435E-2</v>
      </c>
      <c r="G54" s="2"/>
      <c r="H54" s="38"/>
      <c r="I54" s="38"/>
    </row>
    <row r="55" spans="2:10" x14ac:dyDescent="0.4">
      <c r="B55" s="89" t="s">
        <v>38</v>
      </c>
      <c r="C55" s="46">
        <v>10.510999999999999</v>
      </c>
      <c r="D55" s="87">
        <v>10.58</v>
      </c>
      <c r="E55" s="36">
        <v>10.571999999999999</v>
      </c>
      <c r="F55" s="51">
        <v>10.510999999999999</v>
      </c>
      <c r="G55" s="2"/>
      <c r="H55" s="38">
        <v>3.18</v>
      </c>
      <c r="I55" s="38">
        <v>3.2</v>
      </c>
      <c r="J55">
        <v>0.7</v>
      </c>
    </row>
    <row r="56" spans="2:10" x14ac:dyDescent="0.4">
      <c r="B56" s="90"/>
      <c r="C56" s="45">
        <f>(D55-C55)/H55</f>
        <v>2.1698113207547432E-2</v>
      </c>
      <c r="D56" s="88"/>
      <c r="E56" s="39">
        <f>D55-(F56*J55)</f>
        <v>10.56490625</v>
      </c>
      <c r="F56" s="50">
        <f>(D55-F55)/I55</f>
        <v>2.1562500000000262E-2</v>
      </c>
      <c r="G56" s="2"/>
      <c r="H56" s="38"/>
      <c r="I56" s="38"/>
    </row>
    <row r="57" spans="2:10" x14ac:dyDescent="0.4">
      <c r="B57" s="85" t="s">
        <v>22</v>
      </c>
      <c r="C57" s="46">
        <v>10.548999999999999</v>
      </c>
      <c r="D57" s="87">
        <v>10.612</v>
      </c>
      <c r="E57" s="35"/>
      <c r="F57" s="51">
        <v>10.547000000000001</v>
      </c>
      <c r="G57" s="2"/>
      <c r="H57" s="38">
        <v>3.2</v>
      </c>
      <c r="I57" s="38">
        <v>3.2</v>
      </c>
    </row>
    <row r="58" spans="2:10" x14ac:dyDescent="0.4">
      <c r="B58" s="86"/>
      <c r="C58" s="45">
        <f>(D57-C57)/H57</f>
        <v>1.9687500000000191E-2</v>
      </c>
      <c r="D58" s="88"/>
      <c r="E58" s="39"/>
      <c r="F58" s="50">
        <f>(D57-F57)/I57</f>
        <v>2.0312499999999845E-2</v>
      </c>
      <c r="G58" s="2"/>
      <c r="H58" s="38"/>
      <c r="I58" s="38"/>
    </row>
    <row r="59" spans="2:10" x14ac:dyDescent="0.4">
      <c r="B59" s="85" t="s">
        <v>23</v>
      </c>
      <c r="C59" s="46">
        <v>10.606999999999999</v>
      </c>
      <c r="D59" s="87">
        <v>10.673999999999999</v>
      </c>
      <c r="E59" s="35"/>
      <c r="F59" s="51">
        <v>10.619</v>
      </c>
      <c r="G59" s="2"/>
      <c r="H59" s="38">
        <v>3.2</v>
      </c>
      <c r="I59" s="38">
        <v>3.2</v>
      </c>
    </row>
    <row r="60" spans="2:10" x14ac:dyDescent="0.4">
      <c r="B60" s="86"/>
      <c r="C60" s="45">
        <f>(D59-C59)/H59</f>
        <v>2.0937500000000053E-2</v>
      </c>
      <c r="D60" s="88"/>
      <c r="E60" s="39"/>
      <c r="F60" s="50">
        <f>(D59-F59)/I59</f>
        <v>1.7187499999999911E-2</v>
      </c>
      <c r="G60" s="2"/>
      <c r="H60" s="38"/>
      <c r="I60" s="38"/>
    </row>
    <row r="61" spans="2:10" x14ac:dyDescent="0.4">
      <c r="B61" s="85" t="s">
        <v>39</v>
      </c>
      <c r="C61" s="46">
        <v>10.629</v>
      </c>
      <c r="D61" s="87">
        <v>10.686</v>
      </c>
      <c r="E61" s="35"/>
      <c r="F61" s="51">
        <v>10.638999999999999</v>
      </c>
      <c r="G61" s="2"/>
      <c r="H61" s="38">
        <v>3.19</v>
      </c>
      <c r="I61" s="38">
        <v>3.23</v>
      </c>
    </row>
    <row r="62" spans="2:10" x14ac:dyDescent="0.4">
      <c r="B62" s="86"/>
      <c r="C62" s="45">
        <f>(D61-C61)/H61</f>
        <v>1.786833855799385E-2</v>
      </c>
      <c r="D62" s="88"/>
      <c r="E62" s="39"/>
      <c r="F62" s="50">
        <f>(D61-F61)/I61</f>
        <v>1.4551083591331454E-2</v>
      </c>
      <c r="G62" s="2"/>
      <c r="H62" s="38"/>
      <c r="I62" s="38"/>
    </row>
    <row r="63" spans="2:10" x14ac:dyDescent="0.4">
      <c r="B63" s="85" t="s">
        <v>24</v>
      </c>
      <c r="C63" s="46">
        <v>10.673999999999999</v>
      </c>
      <c r="D63" s="87">
        <v>10.734999999999999</v>
      </c>
      <c r="E63" s="35"/>
      <c r="F63" s="51">
        <v>10.643000000000001</v>
      </c>
      <c r="G63" s="2"/>
      <c r="H63" s="38">
        <v>3.1</v>
      </c>
      <c r="I63" s="38">
        <v>8.6</v>
      </c>
    </row>
    <row r="64" spans="2:10" x14ac:dyDescent="0.4">
      <c r="B64" s="86"/>
      <c r="C64" s="45">
        <f>(D63-C63)/H63</f>
        <v>1.9677419354838691E-2</v>
      </c>
      <c r="D64" s="88"/>
      <c r="E64" s="39"/>
      <c r="F64" s="50">
        <f>(D63-F63)/I63</f>
        <v>1.0697674418604506E-2</v>
      </c>
      <c r="G64" s="2"/>
      <c r="H64" s="38"/>
      <c r="I64" s="38"/>
    </row>
    <row r="65" spans="2:9" x14ac:dyDescent="0.4">
      <c r="B65" s="85" t="s">
        <v>40</v>
      </c>
      <c r="C65" s="46">
        <v>10.631</v>
      </c>
      <c r="D65" s="87">
        <v>10.721</v>
      </c>
      <c r="E65" s="35"/>
      <c r="F65" s="51">
        <v>10.643000000000001</v>
      </c>
      <c r="G65" s="2"/>
      <c r="H65" s="38">
        <v>5</v>
      </c>
      <c r="I65" s="38">
        <v>9</v>
      </c>
    </row>
    <row r="66" spans="2:9" x14ac:dyDescent="0.4">
      <c r="B66" s="86"/>
      <c r="C66" s="45">
        <f>(D65-C65)/H65</f>
        <v>1.7999999999999971E-2</v>
      </c>
      <c r="D66" s="88"/>
      <c r="E66" s="39"/>
      <c r="F66" s="50">
        <f>(D65-F65)/I65</f>
        <v>8.6666666666666003E-3</v>
      </c>
      <c r="G66" s="2"/>
      <c r="H66" s="38"/>
      <c r="I66" s="38"/>
    </row>
    <row r="67" spans="2:9" x14ac:dyDescent="0.4">
      <c r="H67" s="38"/>
      <c r="I67" s="38"/>
    </row>
    <row r="68" spans="2:9" x14ac:dyDescent="0.4">
      <c r="H68" s="38"/>
      <c r="I68" s="38"/>
    </row>
    <row r="69" spans="2:9" x14ac:dyDescent="0.4">
      <c r="B69" s="30"/>
      <c r="C69" s="80" t="s">
        <v>30</v>
      </c>
      <c r="D69" s="80"/>
      <c r="E69" s="80"/>
      <c r="F69" s="81"/>
      <c r="H69" s="38"/>
      <c r="I69" s="38"/>
    </row>
    <row r="70" spans="2:9" x14ac:dyDescent="0.4">
      <c r="B70" s="30"/>
      <c r="C70" s="33" t="s">
        <v>26</v>
      </c>
      <c r="D70" s="52" t="s">
        <v>28</v>
      </c>
      <c r="E70" s="29"/>
      <c r="F70" s="48" t="s">
        <v>27</v>
      </c>
      <c r="H70" s="1" t="s">
        <v>26</v>
      </c>
      <c r="I70" s="1" t="s">
        <v>27</v>
      </c>
    </row>
    <row r="71" spans="2:9" x14ac:dyDescent="0.4">
      <c r="B71" s="30"/>
      <c r="C71" s="82" t="s">
        <v>29</v>
      </c>
      <c r="D71" s="83"/>
      <c r="E71" s="83"/>
      <c r="F71" s="84"/>
      <c r="H71" s="38"/>
      <c r="I71" s="38"/>
    </row>
    <row r="72" spans="2:9" x14ac:dyDescent="0.4">
      <c r="B72" s="85" t="s">
        <v>0</v>
      </c>
      <c r="C72" s="44">
        <v>10.64</v>
      </c>
      <c r="D72" s="87">
        <v>10.669</v>
      </c>
      <c r="E72" s="35"/>
      <c r="F72" s="49">
        <v>10.56</v>
      </c>
      <c r="H72" s="38">
        <v>3.26</v>
      </c>
      <c r="I72" s="38">
        <v>3.09</v>
      </c>
    </row>
    <row r="73" spans="2:9" s="8" customFormat="1" x14ac:dyDescent="0.4">
      <c r="B73" s="86"/>
      <c r="C73" s="45">
        <f>(D72-C72)/H72</f>
        <v>8.8957055214723673E-3</v>
      </c>
      <c r="D73" s="88"/>
      <c r="E73" s="39"/>
      <c r="F73" s="50">
        <f>(D72-F72)/I72</f>
        <v>3.5275080906148865E-2</v>
      </c>
      <c r="H73" s="42"/>
      <c r="I73" s="42"/>
    </row>
    <row r="74" spans="2:9" x14ac:dyDescent="0.4">
      <c r="B74" s="85" t="s">
        <v>1</v>
      </c>
      <c r="C74" s="46">
        <v>10.675000000000001</v>
      </c>
      <c r="D74" s="87">
        <v>10.691000000000001</v>
      </c>
      <c r="E74" s="35"/>
      <c r="F74" s="51">
        <v>10.587999999999999</v>
      </c>
      <c r="H74" s="38">
        <v>3.1</v>
      </c>
      <c r="I74" s="38">
        <v>3.2</v>
      </c>
    </row>
    <row r="75" spans="2:9" x14ac:dyDescent="0.4">
      <c r="B75" s="86"/>
      <c r="C75" s="45">
        <f>(D74-C74)/H74</f>
        <v>5.1612903225806495E-3</v>
      </c>
      <c r="D75" s="88"/>
      <c r="E75" s="39"/>
      <c r="F75" s="50">
        <f>(D74-F74)/I74</f>
        <v>3.218750000000048E-2</v>
      </c>
      <c r="H75" s="38"/>
      <c r="I75" s="38"/>
    </row>
    <row r="76" spans="2:9" x14ac:dyDescent="0.4">
      <c r="B76" s="85" t="s">
        <v>41</v>
      </c>
      <c r="C76" s="46">
        <v>10.688000000000001</v>
      </c>
      <c r="D76" s="87">
        <v>10.702</v>
      </c>
      <c r="E76" s="35"/>
      <c r="F76" s="51">
        <v>10.603</v>
      </c>
      <c r="H76" s="38">
        <v>3.02</v>
      </c>
      <c r="I76" s="38">
        <v>3.13</v>
      </c>
    </row>
    <row r="77" spans="2:9" x14ac:dyDescent="0.4">
      <c r="B77" s="86"/>
      <c r="C77" s="45">
        <f>(D76-C76)/H76</f>
        <v>4.6357615894037571E-3</v>
      </c>
      <c r="D77" s="88"/>
      <c r="E77" s="39"/>
      <c r="F77" s="50">
        <f>(D76-F76)/I76</f>
        <v>3.1629392971246069E-2</v>
      </c>
      <c r="H77" s="38"/>
      <c r="I77" s="38"/>
    </row>
    <row r="78" spans="2:9" x14ac:dyDescent="0.4">
      <c r="B78" s="85" t="s">
        <v>2</v>
      </c>
      <c r="C78" s="46">
        <v>10.609</v>
      </c>
      <c r="D78" s="87">
        <v>10.678000000000001</v>
      </c>
      <c r="E78" s="35"/>
      <c r="F78" s="51">
        <v>10.605</v>
      </c>
      <c r="H78" s="38">
        <v>3.23</v>
      </c>
      <c r="I78" s="38">
        <v>3.15</v>
      </c>
    </row>
    <row r="79" spans="2:9" x14ac:dyDescent="0.4">
      <c r="B79" s="86"/>
      <c r="C79" s="45">
        <f>(D78-C78)/H78</f>
        <v>2.1362229102167441E-2</v>
      </c>
      <c r="D79" s="88"/>
      <c r="E79" s="39"/>
      <c r="F79" s="50">
        <f>(D78-F78)/I78</f>
        <v>2.3174603174603303E-2</v>
      </c>
      <c r="H79" s="38"/>
      <c r="I79" s="38"/>
    </row>
    <row r="80" spans="2:9" x14ac:dyDescent="0.4">
      <c r="B80" s="85" t="s">
        <v>42</v>
      </c>
      <c r="C80" s="46">
        <v>10.553000000000001</v>
      </c>
      <c r="D80" s="87">
        <v>10.643000000000001</v>
      </c>
      <c r="E80" s="35"/>
      <c r="F80" s="51">
        <v>10.569000000000001</v>
      </c>
      <c r="H80" s="38">
        <v>3.15</v>
      </c>
      <c r="I80" s="38">
        <v>3.1</v>
      </c>
    </row>
    <row r="81" spans="2:9" x14ac:dyDescent="0.4">
      <c r="B81" s="86"/>
      <c r="C81" s="45">
        <f>(D80-C80)/H80</f>
        <v>2.8571428571428525E-2</v>
      </c>
      <c r="D81" s="88"/>
      <c r="E81" s="39"/>
      <c r="F81" s="50">
        <f>(D80-F80)/I80</f>
        <v>2.3870967741935433E-2</v>
      </c>
      <c r="H81" s="38"/>
      <c r="I81" s="38"/>
    </row>
  </sheetData>
  <mergeCells count="76">
    <mergeCell ref="D43:D44"/>
    <mergeCell ref="D45:D46"/>
    <mergeCell ref="D47:D48"/>
    <mergeCell ref="D49:D50"/>
    <mergeCell ref="D74:D75"/>
    <mergeCell ref="D53:D54"/>
    <mergeCell ref="D55:D56"/>
    <mergeCell ref="D57:D58"/>
    <mergeCell ref="D59:D60"/>
    <mergeCell ref="D61:D62"/>
    <mergeCell ref="D63:D64"/>
    <mergeCell ref="D33:D34"/>
    <mergeCell ref="D35:D36"/>
    <mergeCell ref="D37:D38"/>
    <mergeCell ref="D39:D40"/>
    <mergeCell ref="D41:D42"/>
    <mergeCell ref="B78:B79"/>
    <mergeCell ref="B80:B81"/>
    <mergeCell ref="C71:F71"/>
    <mergeCell ref="B72:B73"/>
    <mergeCell ref="D72:D73"/>
    <mergeCell ref="D76:D77"/>
    <mergeCell ref="D78:D79"/>
    <mergeCell ref="D80:D81"/>
    <mergeCell ref="D11:D12"/>
    <mergeCell ref="D13:D14"/>
    <mergeCell ref="D27:D28"/>
    <mergeCell ref="B74:B75"/>
    <mergeCell ref="B76:B77"/>
    <mergeCell ref="B45:B46"/>
    <mergeCell ref="B47:B48"/>
    <mergeCell ref="B35:B36"/>
    <mergeCell ref="D17:D18"/>
    <mergeCell ref="D19:D20"/>
    <mergeCell ref="D21:D22"/>
    <mergeCell ref="D23:D24"/>
    <mergeCell ref="D25:D26"/>
    <mergeCell ref="D51:D52"/>
    <mergeCell ref="D29:D30"/>
    <mergeCell ref="D31:D32"/>
    <mergeCell ref="B59:B60"/>
    <mergeCell ref="B37:B38"/>
    <mergeCell ref="B39:B40"/>
    <mergeCell ref="B41:B42"/>
    <mergeCell ref="B43:B44"/>
    <mergeCell ref="B49:B50"/>
    <mergeCell ref="B51:B52"/>
    <mergeCell ref="B53:B54"/>
    <mergeCell ref="B55:B56"/>
    <mergeCell ref="B57:B58"/>
    <mergeCell ref="B61:B62"/>
    <mergeCell ref="B63:B64"/>
    <mergeCell ref="B65:B66"/>
    <mergeCell ref="C69:F69"/>
    <mergeCell ref="D65:D66"/>
    <mergeCell ref="B25:B26"/>
    <mergeCell ref="B27:B28"/>
    <mergeCell ref="B29:B30"/>
    <mergeCell ref="B31:B32"/>
    <mergeCell ref="B33:B34"/>
    <mergeCell ref="B23:B24"/>
    <mergeCell ref="C2:F2"/>
    <mergeCell ref="C4:F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D15:D16"/>
    <mergeCell ref="D5:D6"/>
    <mergeCell ref="D7:D8"/>
    <mergeCell ref="D9:D10"/>
  </mergeCells>
  <phoneticPr fontId="1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482F-24F7-4F5C-B8D7-C1D9AEF4234E}">
  <sheetPr>
    <tabColor theme="9"/>
  </sheetPr>
  <dimension ref="B1:R181"/>
  <sheetViews>
    <sheetView tabSelected="1" topLeftCell="A142" workbookViewId="0">
      <selection activeCell="K183" sqref="K183"/>
    </sheetView>
  </sheetViews>
  <sheetFormatPr defaultRowHeight="18.75" x14ac:dyDescent="0.4"/>
  <cols>
    <col min="2" max="2" width="22.375" style="31" customWidth="1"/>
    <col min="4" max="12" width="9" style="1"/>
    <col min="17" max="18" width="9" style="1"/>
  </cols>
  <sheetData>
    <row r="1" spans="2:18" s="1" customFormat="1" x14ac:dyDescent="0.4">
      <c r="B1" s="58"/>
      <c r="C1" s="59"/>
      <c r="D1" s="57" t="s">
        <v>26</v>
      </c>
      <c r="E1" s="29">
        <v>4</v>
      </c>
      <c r="F1" s="29">
        <v>2</v>
      </c>
      <c r="G1" s="56" t="s">
        <v>28</v>
      </c>
      <c r="H1" s="29">
        <v>2</v>
      </c>
      <c r="I1" s="29">
        <v>4</v>
      </c>
      <c r="J1" s="29">
        <v>6</v>
      </c>
      <c r="K1" s="29">
        <v>8</v>
      </c>
      <c r="L1" s="57" t="s">
        <v>27</v>
      </c>
      <c r="N1" s="1" t="s">
        <v>57</v>
      </c>
      <c r="O1" s="1" t="s">
        <v>58</v>
      </c>
      <c r="Q1" s="1" t="s">
        <v>55</v>
      </c>
      <c r="R1" s="1" t="s">
        <v>56</v>
      </c>
    </row>
    <row r="2" spans="2:18" x14ac:dyDescent="0.4">
      <c r="B2" s="92" t="s">
        <v>0</v>
      </c>
      <c r="C2" s="60" t="s">
        <v>51</v>
      </c>
      <c r="D2" s="61">
        <v>9.7159999999999993</v>
      </c>
      <c r="E2" s="61"/>
      <c r="F2" s="61">
        <v>9.7609999999999992</v>
      </c>
      <c r="G2" s="61">
        <v>9.81</v>
      </c>
      <c r="H2" s="61">
        <v>9.827</v>
      </c>
      <c r="I2" s="61">
        <v>9.7420000000000009</v>
      </c>
      <c r="J2" s="61"/>
      <c r="K2" s="61"/>
      <c r="L2" s="61">
        <v>9.6809999999999992</v>
      </c>
      <c r="N2" s="38">
        <v>2.99</v>
      </c>
      <c r="O2" s="38">
        <v>5.38</v>
      </c>
      <c r="Q2" s="32">
        <v>3.1E-2</v>
      </c>
      <c r="R2" s="32">
        <v>2.4E-2</v>
      </c>
    </row>
    <row r="3" spans="2:18" x14ac:dyDescent="0.4">
      <c r="B3" s="92"/>
      <c r="C3" s="65" t="s">
        <v>52</v>
      </c>
      <c r="D3" s="66">
        <v>9.7159999999999993</v>
      </c>
      <c r="E3" s="67"/>
      <c r="F3" s="66">
        <v>9.7609999999999992</v>
      </c>
      <c r="G3" s="66">
        <v>9.81</v>
      </c>
      <c r="H3" s="67">
        <v>9.827</v>
      </c>
      <c r="I3" s="67">
        <v>9.7420000000000009</v>
      </c>
      <c r="J3" s="67"/>
      <c r="K3" s="67"/>
      <c r="L3" s="67">
        <v>9.6809999999999992</v>
      </c>
      <c r="Q3" s="32"/>
      <c r="R3" s="32"/>
    </row>
    <row r="4" spans="2:18" x14ac:dyDescent="0.4">
      <c r="B4" s="92"/>
      <c r="C4" s="68" t="s">
        <v>53</v>
      </c>
      <c r="D4" s="69">
        <f>D3-0.05</f>
        <v>9.6659999999999986</v>
      </c>
      <c r="E4" s="70"/>
      <c r="F4" s="69">
        <f>F3-0.05</f>
        <v>9.7109999999999985</v>
      </c>
      <c r="G4" s="69">
        <f>G3-0.05</f>
        <v>9.76</v>
      </c>
      <c r="H4" s="69">
        <f>H3-0.05</f>
        <v>9.7769999999999992</v>
      </c>
      <c r="I4" s="69">
        <f>I3-0.05</f>
        <v>9.6920000000000002</v>
      </c>
      <c r="J4" s="70"/>
      <c r="K4" s="70"/>
      <c r="L4" s="69">
        <f>L3-0.05</f>
        <v>9.6309999999999985</v>
      </c>
      <c r="N4" s="1"/>
      <c r="O4" s="1"/>
      <c r="Q4" s="32"/>
      <c r="R4" s="32"/>
    </row>
    <row r="5" spans="2:18" x14ac:dyDescent="0.4">
      <c r="B5" s="93"/>
      <c r="C5" s="62" t="s">
        <v>54</v>
      </c>
      <c r="D5" s="63">
        <v>0.05</v>
      </c>
      <c r="E5" s="64"/>
      <c r="F5" s="63">
        <f>F2-F4</f>
        <v>5.0000000000000711E-2</v>
      </c>
      <c r="G5" s="63">
        <f>G2-G4</f>
        <v>5.0000000000000711E-2</v>
      </c>
      <c r="H5" s="63">
        <f>H2-H4</f>
        <v>5.0000000000000711E-2</v>
      </c>
      <c r="I5" s="63">
        <f>I2-I4</f>
        <v>5.0000000000000711E-2</v>
      </c>
      <c r="J5" s="64"/>
      <c r="K5" s="64"/>
      <c r="L5" s="63">
        <v>0.05</v>
      </c>
      <c r="Q5" s="32"/>
      <c r="R5" s="32"/>
    </row>
    <row r="6" spans="2:18" ht="7.5" customHeight="1" x14ac:dyDescent="0.4">
      <c r="B6" s="71"/>
      <c r="C6" s="73"/>
      <c r="D6" s="74"/>
      <c r="E6" s="75"/>
      <c r="F6" s="74"/>
      <c r="G6" s="74"/>
      <c r="H6" s="74"/>
      <c r="I6" s="74"/>
      <c r="J6" s="75"/>
      <c r="K6" s="75"/>
      <c r="L6" s="72"/>
      <c r="Q6" s="32"/>
      <c r="R6" s="32"/>
    </row>
    <row r="7" spans="2:18" x14ac:dyDescent="0.4">
      <c r="B7" s="91" t="s">
        <v>1</v>
      </c>
      <c r="C7" s="60" t="s">
        <v>51</v>
      </c>
      <c r="D7" s="61">
        <v>9.8249999999999993</v>
      </c>
      <c r="E7" s="59"/>
      <c r="F7" s="61">
        <v>9.8469999999999995</v>
      </c>
      <c r="G7" s="61">
        <v>9.8550000000000004</v>
      </c>
      <c r="H7" s="59">
        <v>9.8119999999999994</v>
      </c>
      <c r="I7" s="59">
        <v>9.7829999999999995</v>
      </c>
      <c r="J7" s="59"/>
      <c r="K7" s="59"/>
      <c r="L7" s="59">
        <v>9.7430000000000003</v>
      </c>
      <c r="N7" s="38">
        <v>2.97</v>
      </c>
      <c r="O7" s="38">
        <v>5.4</v>
      </c>
      <c r="Q7" s="32">
        <v>8.9999999999999993E-3</v>
      </c>
      <c r="R7" s="32">
        <v>0.02</v>
      </c>
    </row>
    <row r="8" spans="2:18" x14ac:dyDescent="0.4">
      <c r="B8" s="92"/>
      <c r="C8" s="65" t="s">
        <v>52</v>
      </c>
      <c r="D8" s="66">
        <v>9.8249999999999993</v>
      </c>
      <c r="E8" s="67"/>
      <c r="F8" s="66">
        <f>G8-($F$1*Q7)</f>
        <v>9.8330000000000002</v>
      </c>
      <c r="G8" s="66">
        <v>9.8510000000000009</v>
      </c>
      <c r="H8" s="67">
        <f>G8-($H$1*R7)</f>
        <v>9.8110000000000017</v>
      </c>
      <c r="I8" s="67">
        <f>G8-($I$1*R7)</f>
        <v>9.7710000000000008</v>
      </c>
      <c r="J8" s="67"/>
      <c r="K8" s="67"/>
      <c r="L8" s="67">
        <v>9.7430000000000003</v>
      </c>
      <c r="Q8" s="32"/>
      <c r="R8" s="32"/>
    </row>
    <row r="9" spans="2:18" x14ac:dyDescent="0.4">
      <c r="B9" s="92"/>
      <c r="C9" s="68" t="s">
        <v>53</v>
      </c>
      <c r="D9" s="69">
        <f>D8-0.05</f>
        <v>9.7749999999999986</v>
      </c>
      <c r="E9" s="70"/>
      <c r="F9" s="69">
        <f>F8-0.05</f>
        <v>9.7829999999999995</v>
      </c>
      <c r="G9" s="69">
        <f>G8-0.05</f>
        <v>9.8010000000000002</v>
      </c>
      <c r="H9" s="69">
        <f>H8-0.05</f>
        <v>9.761000000000001</v>
      </c>
      <c r="I9" s="69">
        <f>I8-0.05</f>
        <v>9.7210000000000001</v>
      </c>
      <c r="J9" s="70"/>
      <c r="K9" s="70"/>
      <c r="L9" s="69">
        <f>L8-0.05</f>
        <v>9.6929999999999996</v>
      </c>
      <c r="Q9" s="32"/>
      <c r="R9" s="32"/>
    </row>
    <row r="10" spans="2:18" x14ac:dyDescent="0.4">
      <c r="B10" s="93"/>
      <c r="C10" s="62" t="s">
        <v>54</v>
      </c>
      <c r="D10" s="63">
        <v>0.05</v>
      </c>
      <c r="E10" s="64"/>
      <c r="F10" s="63">
        <f>F7-F9</f>
        <v>6.4000000000000057E-2</v>
      </c>
      <c r="G10" s="63">
        <f>G7-G9</f>
        <v>5.400000000000027E-2</v>
      </c>
      <c r="H10" s="63">
        <f>H7-H9</f>
        <v>5.099999999999838E-2</v>
      </c>
      <c r="I10" s="63">
        <f>I7-I9</f>
        <v>6.1999999999999389E-2</v>
      </c>
      <c r="J10" s="64"/>
      <c r="K10" s="64"/>
      <c r="L10" s="63">
        <v>0.05</v>
      </c>
      <c r="Q10" s="32"/>
      <c r="R10" s="32"/>
    </row>
    <row r="11" spans="2:18" ht="7.5" customHeight="1" x14ac:dyDescent="0.4">
      <c r="B11" s="71"/>
      <c r="C11" s="73"/>
      <c r="D11" s="74"/>
      <c r="E11" s="75"/>
      <c r="F11" s="74"/>
      <c r="G11" s="74"/>
      <c r="H11" s="74"/>
      <c r="I11" s="74"/>
      <c r="J11" s="75"/>
      <c r="K11" s="75"/>
      <c r="L11" s="72"/>
      <c r="Q11" s="32"/>
      <c r="R11" s="32"/>
    </row>
    <row r="12" spans="2:18" x14ac:dyDescent="0.4">
      <c r="B12" s="91" t="s">
        <v>2</v>
      </c>
      <c r="C12" s="60" t="s">
        <v>51</v>
      </c>
      <c r="D12" s="61">
        <v>9.8689999999999998</v>
      </c>
      <c r="E12" s="59"/>
      <c r="F12" s="61">
        <v>9.8740000000000006</v>
      </c>
      <c r="G12" s="61">
        <v>9.9009999999999998</v>
      </c>
      <c r="H12" s="59">
        <v>9.8789999999999996</v>
      </c>
      <c r="I12" s="59">
        <v>9.8650000000000002</v>
      </c>
      <c r="J12" s="59"/>
      <c r="K12" s="59"/>
      <c r="L12" s="59">
        <v>9.8350000000000009</v>
      </c>
      <c r="N12" s="38">
        <v>2.95</v>
      </c>
      <c r="O12" s="38">
        <v>5.4</v>
      </c>
      <c r="Q12" s="32">
        <v>8.0000000000000002E-3</v>
      </c>
      <c r="R12" s="32">
        <v>1.0999999999999999E-2</v>
      </c>
    </row>
    <row r="13" spans="2:18" x14ac:dyDescent="0.4">
      <c r="B13" s="92"/>
      <c r="C13" s="65" t="s">
        <v>52</v>
      </c>
      <c r="D13" s="66">
        <v>9.8689999999999998</v>
      </c>
      <c r="E13" s="67"/>
      <c r="F13" s="66">
        <f>G13-($F$1*Q12)</f>
        <v>9.8759999999999994</v>
      </c>
      <c r="G13" s="66">
        <v>9.8919999999999995</v>
      </c>
      <c r="H13" s="67">
        <f>G13-($H$1*R12)</f>
        <v>9.8699999999999992</v>
      </c>
      <c r="I13" s="67">
        <f>G13-($I$1*R12)</f>
        <v>9.847999999999999</v>
      </c>
      <c r="J13" s="67"/>
      <c r="K13" s="67"/>
      <c r="L13" s="67">
        <v>9.8350000000000009</v>
      </c>
      <c r="Q13" s="32"/>
      <c r="R13" s="32"/>
    </row>
    <row r="14" spans="2:18" x14ac:dyDescent="0.4">
      <c r="B14" s="92"/>
      <c r="C14" s="68" t="s">
        <v>53</v>
      </c>
      <c r="D14" s="69">
        <f>D13-0.05</f>
        <v>9.8189999999999991</v>
      </c>
      <c r="E14" s="70"/>
      <c r="F14" s="69">
        <f>F13-0.05</f>
        <v>9.8259999999999987</v>
      </c>
      <c r="G14" s="69">
        <f>G13-0.05</f>
        <v>9.8419999999999987</v>
      </c>
      <c r="H14" s="69">
        <f>H13-0.05</f>
        <v>9.8199999999999985</v>
      </c>
      <c r="I14" s="69">
        <f>I13-0.05</f>
        <v>9.7979999999999983</v>
      </c>
      <c r="J14" s="70"/>
      <c r="K14" s="70"/>
      <c r="L14" s="69">
        <f>L13-0.05</f>
        <v>9.7850000000000001</v>
      </c>
      <c r="Q14" s="32"/>
      <c r="R14" s="32"/>
    </row>
    <row r="15" spans="2:18" x14ac:dyDescent="0.4">
      <c r="B15" s="93"/>
      <c r="C15" s="62" t="s">
        <v>54</v>
      </c>
      <c r="D15" s="63">
        <v>0.05</v>
      </c>
      <c r="E15" s="64"/>
      <c r="F15" s="63">
        <f>F12-F14</f>
        <v>4.8000000000001819E-2</v>
      </c>
      <c r="G15" s="63">
        <f>G12-G14</f>
        <v>5.9000000000001052E-2</v>
      </c>
      <c r="H15" s="63">
        <f>H12-H14</f>
        <v>5.9000000000001052E-2</v>
      </c>
      <c r="I15" s="63">
        <f>I12-I14</f>
        <v>6.7000000000001947E-2</v>
      </c>
      <c r="J15" s="64"/>
      <c r="K15" s="64"/>
      <c r="L15" s="63">
        <v>0.05</v>
      </c>
      <c r="Q15" s="32"/>
      <c r="R15" s="32"/>
    </row>
    <row r="16" spans="2:18" ht="7.5" customHeight="1" x14ac:dyDescent="0.4">
      <c r="B16" s="71"/>
      <c r="C16" s="73"/>
      <c r="D16" s="74"/>
      <c r="E16" s="75"/>
      <c r="F16" s="74"/>
      <c r="G16" s="74"/>
      <c r="H16" s="74"/>
      <c r="I16" s="74"/>
      <c r="J16" s="75"/>
      <c r="K16" s="75"/>
      <c r="L16" s="72"/>
      <c r="Q16" s="32"/>
      <c r="R16" s="32"/>
    </row>
    <row r="17" spans="2:18" x14ac:dyDescent="0.4">
      <c r="B17" s="91" t="s">
        <v>3</v>
      </c>
      <c r="C17" s="60" t="s">
        <v>51</v>
      </c>
      <c r="D17" s="61">
        <v>9.8829999999999991</v>
      </c>
      <c r="E17" s="59"/>
      <c r="F17" s="61">
        <v>9.9019999999999992</v>
      </c>
      <c r="G17" s="61">
        <v>9.9350000000000005</v>
      </c>
      <c r="H17" s="59">
        <v>9.9190000000000005</v>
      </c>
      <c r="I17" s="59">
        <v>9.9019999999999992</v>
      </c>
      <c r="J17" s="59"/>
      <c r="K17" s="59"/>
      <c r="L17" s="59">
        <v>9.8780000000000001</v>
      </c>
      <c r="N17" s="38">
        <v>2.92</v>
      </c>
      <c r="O17" s="38">
        <v>5.25</v>
      </c>
      <c r="Q17" s="32">
        <v>1.7000000000000001E-2</v>
      </c>
      <c r="R17" s="32">
        <v>0.01</v>
      </c>
    </row>
    <row r="18" spans="2:18" x14ac:dyDescent="0.4">
      <c r="B18" s="92"/>
      <c r="C18" s="65" t="s">
        <v>52</v>
      </c>
      <c r="D18" s="66">
        <v>9.8829999999999991</v>
      </c>
      <c r="E18" s="67"/>
      <c r="F18" s="66">
        <f>G18-($F$1*Q17)</f>
        <v>9.8989999999999991</v>
      </c>
      <c r="G18" s="66">
        <v>9.9329999999999998</v>
      </c>
      <c r="H18" s="67">
        <f>G18-($H$1*R17)</f>
        <v>9.9130000000000003</v>
      </c>
      <c r="I18" s="67">
        <f>G18-($I$1*R17)</f>
        <v>9.8930000000000007</v>
      </c>
      <c r="J18" s="67"/>
      <c r="K18" s="67"/>
      <c r="L18" s="67">
        <v>9.8780000000000001</v>
      </c>
      <c r="Q18" s="32"/>
      <c r="R18" s="32"/>
    </row>
    <row r="19" spans="2:18" x14ac:dyDescent="0.4">
      <c r="B19" s="92"/>
      <c r="C19" s="68" t="s">
        <v>53</v>
      </c>
      <c r="D19" s="69">
        <f>D18-0.05</f>
        <v>9.8329999999999984</v>
      </c>
      <c r="E19" s="70"/>
      <c r="F19" s="69">
        <f>F18-0.05</f>
        <v>9.8489999999999984</v>
      </c>
      <c r="G19" s="69">
        <f>G18-0.05</f>
        <v>9.8829999999999991</v>
      </c>
      <c r="H19" s="69">
        <f>H18-0.05</f>
        <v>9.8629999999999995</v>
      </c>
      <c r="I19" s="69">
        <f>I18-0.05</f>
        <v>9.843</v>
      </c>
      <c r="J19" s="70"/>
      <c r="K19" s="70"/>
      <c r="L19" s="69">
        <f>L18-0.05</f>
        <v>9.8279999999999994</v>
      </c>
      <c r="Q19" s="32"/>
      <c r="R19" s="32"/>
    </row>
    <row r="20" spans="2:18" x14ac:dyDescent="0.4">
      <c r="B20" s="93"/>
      <c r="C20" s="62" t="s">
        <v>54</v>
      </c>
      <c r="D20" s="63">
        <v>0.05</v>
      </c>
      <c r="E20" s="64"/>
      <c r="F20" s="63">
        <f>F17-F19</f>
        <v>5.3000000000000824E-2</v>
      </c>
      <c r="G20" s="63">
        <f>G17-G19</f>
        <v>5.2000000000001378E-2</v>
      </c>
      <c r="H20" s="63">
        <f>H17-H19</f>
        <v>5.6000000000000938E-2</v>
      </c>
      <c r="I20" s="63">
        <f>I17-I19</f>
        <v>5.8999999999999275E-2</v>
      </c>
      <c r="J20" s="64"/>
      <c r="K20" s="64"/>
      <c r="L20" s="63">
        <v>0.05</v>
      </c>
      <c r="Q20" s="32"/>
      <c r="R20" s="32"/>
    </row>
    <row r="21" spans="2:18" ht="7.5" customHeight="1" x14ac:dyDescent="0.4">
      <c r="B21" s="71"/>
      <c r="C21" s="73"/>
      <c r="D21" s="74"/>
      <c r="E21" s="75"/>
      <c r="F21" s="74"/>
      <c r="G21" s="74"/>
      <c r="H21" s="74"/>
      <c r="I21" s="74"/>
      <c r="J21" s="75"/>
      <c r="K21" s="75"/>
      <c r="L21" s="72"/>
      <c r="Q21" s="32"/>
      <c r="R21" s="32"/>
    </row>
    <row r="22" spans="2:18" x14ac:dyDescent="0.4">
      <c r="B22" s="94" t="s">
        <v>34</v>
      </c>
      <c r="C22" s="60" t="s">
        <v>51</v>
      </c>
      <c r="D22" s="61">
        <v>9.8719999999999999</v>
      </c>
      <c r="E22" s="59"/>
      <c r="F22" s="61">
        <v>9.8930000000000007</v>
      </c>
      <c r="G22" s="61">
        <v>9.9450000000000003</v>
      </c>
      <c r="H22" s="59">
        <v>9.9160000000000004</v>
      </c>
      <c r="I22" s="59">
        <v>9.8960000000000008</v>
      </c>
      <c r="J22" s="59"/>
      <c r="K22" s="59"/>
      <c r="L22" s="59">
        <v>9.8729999999999993</v>
      </c>
      <c r="N22" s="38">
        <v>2.93</v>
      </c>
      <c r="O22" s="38">
        <v>5.13</v>
      </c>
      <c r="Q22" s="32">
        <v>2.9000000000000001E-2</v>
      </c>
      <c r="R22" s="32">
        <v>1.6E-2</v>
      </c>
    </row>
    <row r="23" spans="2:18" x14ac:dyDescent="0.4">
      <c r="B23" s="95"/>
      <c r="C23" s="65" t="s">
        <v>52</v>
      </c>
      <c r="D23" s="66">
        <v>9.8719999999999999</v>
      </c>
      <c r="E23" s="67"/>
      <c r="F23" s="66">
        <f>G23-($F$1*Q22)</f>
        <v>9.8979999999999997</v>
      </c>
      <c r="G23" s="66">
        <v>9.9559999999999995</v>
      </c>
      <c r="H23" s="67">
        <f>G23-($H$1*R22)</f>
        <v>9.9239999999999995</v>
      </c>
      <c r="I23" s="67">
        <f>G23-($I$1*R22)</f>
        <v>9.8919999999999995</v>
      </c>
      <c r="J23" s="67"/>
      <c r="K23" s="67"/>
      <c r="L23" s="67">
        <v>9.8729999999999993</v>
      </c>
      <c r="Q23" s="32"/>
      <c r="R23" s="32"/>
    </row>
    <row r="24" spans="2:18" x14ac:dyDescent="0.4">
      <c r="B24" s="95"/>
      <c r="C24" s="68" t="s">
        <v>53</v>
      </c>
      <c r="D24" s="69">
        <f>D23-0.05</f>
        <v>9.8219999999999992</v>
      </c>
      <c r="E24" s="70"/>
      <c r="F24" s="69">
        <f>F23-0.05</f>
        <v>9.847999999999999</v>
      </c>
      <c r="G24" s="69">
        <f>G23-0.05</f>
        <v>9.9059999999999988</v>
      </c>
      <c r="H24" s="69">
        <f>H23-0.05</f>
        <v>9.8739999999999988</v>
      </c>
      <c r="I24" s="69">
        <f>I23-0.05</f>
        <v>9.8419999999999987</v>
      </c>
      <c r="J24" s="70"/>
      <c r="K24" s="70"/>
      <c r="L24" s="69">
        <f>L23-0.05</f>
        <v>9.8229999999999986</v>
      </c>
      <c r="Q24" s="32"/>
      <c r="R24" s="32"/>
    </row>
    <row r="25" spans="2:18" x14ac:dyDescent="0.4">
      <c r="B25" s="96"/>
      <c r="C25" s="62" t="s">
        <v>54</v>
      </c>
      <c r="D25" s="63">
        <v>0.05</v>
      </c>
      <c r="E25" s="64"/>
      <c r="F25" s="63">
        <f>F22-F24</f>
        <v>4.5000000000001705E-2</v>
      </c>
      <c r="G25" s="63">
        <f>G22-G24</f>
        <v>3.9000000000001478E-2</v>
      </c>
      <c r="H25" s="63">
        <f>H22-H24</f>
        <v>4.2000000000001592E-2</v>
      </c>
      <c r="I25" s="63">
        <f>I22-I24</f>
        <v>5.4000000000002046E-2</v>
      </c>
      <c r="J25" s="64"/>
      <c r="K25" s="64"/>
      <c r="L25" s="63">
        <v>0.05</v>
      </c>
      <c r="Q25" s="32"/>
      <c r="R25" s="32"/>
    </row>
    <row r="26" spans="2:18" ht="7.5" customHeight="1" x14ac:dyDescent="0.4">
      <c r="B26" s="71"/>
      <c r="C26" s="73"/>
      <c r="D26" s="74"/>
      <c r="E26" s="75"/>
      <c r="F26" s="74"/>
      <c r="G26" s="74"/>
      <c r="H26" s="74"/>
      <c r="I26" s="74"/>
      <c r="J26" s="75"/>
      <c r="K26" s="75"/>
      <c r="L26" s="72"/>
      <c r="Q26" s="32"/>
      <c r="R26" s="32"/>
    </row>
    <row r="27" spans="2:18" x14ac:dyDescent="0.4">
      <c r="B27" s="91" t="s">
        <v>5</v>
      </c>
      <c r="C27" s="60" t="s">
        <v>51</v>
      </c>
      <c r="D27" s="61">
        <v>9.9030000000000005</v>
      </c>
      <c r="E27" s="59"/>
      <c r="F27" s="61">
        <v>9.9169999999999998</v>
      </c>
      <c r="G27" s="61">
        <v>9.9469999999999992</v>
      </c>
      <c r="H27" s="59">
        <v>9.9469999999999992</v>
      </c>
      <c r="I27" s="59">
        <v>9.9149999999999991</v>
      </c>
      <c r="J27" s="59"/>
      <c r="K27" s="59"/>
      <c r="L27" s="59">
        <v>9.8839999999999986</v>
      </c>
      <c r="N27" s="38">
        <v>3</v>
      </c>
      <c r="O27" s="38">
        <v>4.97</v>
      </c>
      <c r="Q27" s="32">
        <v>2.4E-2</v>
      </c>
      <c r="R27" s="32">
        <v>1.7999999999999999E-2</v>
      </c>
    </row>
    <row r="28" spans="2:18" x14ac:dyDescent="0.4">
      <c r="B28" s="92"/>
      <c r="C28" s="65" t="s">
        <v>52</v>
      </c>
      <c r="D28" s="66">
        <v>9.9030000000000005</v>
      </c>
      <c r="E28" s="67"/>
      <c r="F28" s="66">
        <f>G28-($F$1*Q27)</f>
        <v>9.9260000000000002</v>
      </c>
      <c r="G28" s="66">
        <v>9.9740000000000002</v>
      </c>
      <c r="H28" s="67">
        <f>G28-($H$1*R27)</f>
        <v>9.9380000000000006</v>
      </c>
      <c r="I28" s="67">
        <f>G28-($I$1*R27)</f>
        <v>9.902000000000001</v>
      </c>
      <c r="J28" s="67"/>
      <c r="K28" s="67"/>
      <c r="L28" s="67">
        <v>9.8839999999999986</v>
      </c>
      <c r="Q28" s="32"/>
      <c r="R28" s="32"/>
    </row>
    <row r="29" spans="2:18" x14ac:dyDescent="0.4">
      <c r="B29" s="92"/>
      <c r="C29" s="68" t="s">
        <v>53</v>
      </c>
      <c r="D29" s="69">
        <f>D28-0.05</f>
        <v>9.8529999999999998</v>
      </c>
      <c r="E29" s="70"/>
      <c r="F29" s="69">
        <f>F28-0.05</f>
        <v>9.8759999999999994</v>
      </c>
      <c r="G29" s="69">
        <f>G28-0.05</f>
        <v>9.9239999999999995</v>
      </c>
      <c r="H29" s="69">
        <f>H28-0.05</f>
        <v>9.8879999999999999</v>
      </c>
      <c r="I29" s="69">
        <f>I28-0.05</f>
        <v>9.8520000000000003</v>
      </c>
      <c r="J29" s="70"/>
      <c r="K29" s="70"/>
      <c r="L29" s="69">
        <f>L28-0.05</f>
        <v>9.8339999999999979</v>
      </c>
      <c r="Q29" s="32"/>
      <c r="R29" s="32"/>
    </row>
    <row r="30" spans="2:18" x14ac:dyDescent="0.4">
      <c r="B30" s="93"/>
      <c r="C30" s="62" t="s">
        <v>54</v>
      </c>
      <c r="D30" s="63">
        <v>0.05</v>
      </c>
      <c r="E30" s="64"/>
      <c r="F30" s="63">
        <f>F27-F29</f>
        <v>4.1000000000000369E-2</v>
      </c>
      <c r="G30" s="63">
        <f>G27-G29</f>
        <v>2.2999999999999687E-2</v>
      </c>
      <c r="H30" s="63">
        <f>H27-H29</f>
        <v>5.8999999999999275E-2</v>
      </c>
      <c r="I30" s="63">
        <f>I27-I29</f>
        <v>6.2999999999998835E-2</v>
      </c>
      <c r="J30" s="64"/>
      <c r="K30" s="64"/>
      <c r="L30" s="63">
        <v>0.05</v>
      </c>
      <c r="Q30" s="32"/>
      <c r="R30" s="32"/>
    </row>
    <row r="31" spans="2:18" ht="7.5" customHeight="1" x14ac:dyDescent="0.4">
      <c r="B31" s="71"/>
      <c r="C31" s="73"/>
      <c r="D31" s="74"/>
      <c r="E31" s="75"/>
      <c r="F31" s="74"/>
      <c r="G31" s="74"/>
      <c r="H31" s="74"/>
      <c r="I31" s="74"/>
      <c r="J31" s="75"/>
      <c r="K31" s="75"/>
      <c r="L31" s="72"/>
      <c r="Q31" s="32"/>
      <c r="R31" s="32"/>
    </row>
    <row r="32" spans="2:18" x14ac:dyDescent="0.4">
      <c r="B32" s="91" t="s">
        <v>6</v>
      </c>
      <c r="C32" s="60" t="s">
        <v>51</v>
      </c>
      <c r="D32" s="61">
        <v>9.9260000000000002</v>
      </c>
      <c r="E32" s="59"/>
      <c r="F32" s="61">
        <v>9.9440000000000008</v>
      </c>
      <c r="G32" s="61">
        <v>9.9870000000000001</v>
      </c>
      <c r="H32" s="61">
        <v>9.9600000000000009</v>
      </c>
      <c r="I32" s="59">
        <v>9.9280000000000008</v>
      </c>
      <c r="J32" s="59"/>
      <c r="K32" s="59"/>
      <c r="L32" s="59">
        <v>9.9120000000000008</v>
      </c>
      <c r="N32" s="38">
        <v>3.05</v>
      </c>
      <c r="O32" s="38">
        <v>4.46</v>
      </c>
      <c r="Q32" s="32">
        <v>2.9000000000000001E-2</v>
      </c>
      <c r="R32" s="32">
        <v>2.3E-2</v>
      </c>
    </row>
    <row r="33" spans="2:18" x14ac:dyDescent="0.4">
      <c r="B33" s="92"/>
      <c r="C33" s="65" t="s">
        <v>52</v>
      </c>
      <c r="D33" s="66">
        <v>9.9260000000000002</v>
      </c>
      <c r="E33" s="67"/>
      <c r="F33" s="66">
        <f>G33-($F$1*Q32)</f>
        <v>9.9570000000000007</v>
      </c>
      <c r="G33" s="66">
        <v>10.015000000000001</v>
      </c>
      <c r="H33" s="67">
        <f>G33-($H$1*R32)</f>
        <v>9.9690000000000012</v>
      </c>
      <c r="I33" s="67">
        <f>G33-($I$1*R32)</f>
        <v>9.923</v>
      </c>
      <c r="J33" s="67"/>
      <c r="K33" s="67"/>
      <c r="L33" s="67">
        <v>9.9120000000000008</v>
      </c>
      <c r="Q33" s="32"/>
      <c r="R33" s="32"/>
    </row>
    <row r="34" spans="2:18" x14ac:dyDescent="0.4">
      <c r="B34" s="92"/>
      <c r="C34" s="68" t="s">
        <v>53</v>
      </c>
      <c r="D34" s="69">
        <f>D33-0.05</f>
        <v>9.8759999999999994</v>
      </c>
      <c r="E34" s="70"/>
      <c r="F34" s="69">
        <f>F33-0.05</f>
        <v>9.907</v>
      </c>
      <c r="G34" s="69">
        <f>G33-0.05</f>
        <v>9.9649999999999999</v>
      </c>
      <c r="H34" s="69">
        <f>H33-0.05</f>
        <v>9.9190000000000005</v>
      </c>
      <c r="I34" s="69">
        <f>I33-0.05</f>
        <v>9.8729999999999993</v>
      </c>
      <c r="J34" s="70"/>
      <c r="K34" s="70"/>
      <c r="L34" s="69">
        <f>L33-0.05</f>
        <v>9.8620000000000001</v>
      </c>
      <c r="Q34" s="32"/>
      <c r="R34" s="32"/>
    </row>
    <row r="35" spans="2:18" x14ac:dyDescent="0.4">
      <c r="B35" s="93"/>
      <c r="C35" s="62" t="s">
        <v>54</v>
      </c>
      <c r="D35" s="63">
        <v>0.05</v>
      </c>
      <c r="E35" s="64"/>
      <c r="F35" s="63">
        <f>F32-F34</f>
        <v>3.700000000000081E-2</v>
      </c>
      <c r="G35" s="63">
        <f>G32-G34</f>
        <v>2.2000000000000242E-2</v>
      </c>
      <c r="H35" s="63">
        <f>H32-H34</f>
        <v>4.1000000000000369E-2</v>
      </c>
      <c r="I35" s="63">
        <f>I32-I34</f>
        <v>5.5000000000001492E-2</v>
      </c>
      <c r="J35" s="64"/>
      <c r="K35" s="64"/>
      <c r="L35" s="63">
        <v>0.05</v>
      </c>
      <c r="Q35" s="32"/>
      <c r="R35" s="32"/>
    </row>
    <row r="36" spans="2:18" ht="7.5" customHeight="1" x14ac:dyDescent="0.4">
      <c r="B36" s="71"/>
      <c r="C36" s="73"/>
      <c r="D36" s="74"/>
      <c r="E36" s="75"/>
      <c r="F36" s="74"/>
      <c r="G36" s="74"/>
      <c r="H36" s="74"/>
      <c r="I36" s="74"/>
      <c r="J36" s="75"/>
      <c r="K36" s="75"/>
      <c r="L36" s="72"/>
      <c r="Q36" s="32"/>
      <c r="R36" s="32"/>
    </row>
    <row r="37" spans="2:18" x14ac:dyDescent="0.4">
      <c r="B37" s="91" t="s">
        <v>7</v>
      </c>
      <c r="C37" s="60" t="s">
        <v>51</v>
      </c>
      <c r="D37" s="61">
        <v>10.038</v>
      </c>
      <c r="E37" s="59"/>
      <c r="F37" s="61">
        <v>10.036</v>
      </c>
      <c r="G37" s="61">
        <v>10.026</v>
      </c>
      <c r="H37" s="59">
        <v>9.9969999999999999</v>
      </c>
      <c r="I37" s="59"/>
      <c r="J37" s="59"/>
      <c r="K37" s="59"/>
      <c r="L37" s="59">
        <v>9.9559999999999995</v>
      </c>
      <c r="N37" s="38">
        <v>3.2</v>
      </c>
      <c r="O37" s="38">
        <v>3.9</v>
      </c>
      <c r="Q37" s="32">
        <v>5.0000000000000001E-3</v>
      </c>
      <c r="R37" s="32">
        <v>2.5000000000000001E-2</v>
      </c>
    </row>
    <row r="38" spans="2:18" x14ac:dyDescent="0.4">
      <c r="B38" s="92"/>
      <c r="C38" s="65" t="s">
        <v>52</v>
      </c>
      <c r="D38" s="66">
        <v>10.038</v>
      </c>
      <c r="E38" s="67"/>
      <c r="F38" s="66">
        <f>G38-($F$1*Q37)</f>
        <v>10.045</v>
      </c>
      <c r="G38" s="66">
        <v>10.055</v>
      </c>
      <c r="H38" s="67">
        <f>G38-($H$1*R37)</f>
        <v>10.004999999999999</v>
      </c>
      <c r="I38" s="67"/>
      <c r="J38" s="67"/>
      <c r="K38" s="67"/>
      <c r="L38" s="67">
        <v>9.9559999999999995</v>
      </c>
      <c r="Q38" s="32"/>
      <c r="R38" s="32"/>
    </row>
    <row r="39" spans="2:18" x14ac:dyDescent="0.4">
      <c r="B39" s="92"/>
      <c r="C39" s="68" t="s">
        <v>53</v>
      </c>
      <c r="D39" s="69">
        <f>D38-0.05</f>
        <v>9.9879999999999995</v>
      </c>
      <c r="E39" s="70"/>
      <c r="F39" s="69">
        <f>F38-0.05</f>
        <v>9.9949999999999992</v>
      </c>
      <c r="G39" s="69">
        <f>G38-0.05</f>
        <v>10.004999999999999</v>
      </c>
      <c r="H39" s="69">
        <f>H38-0.05</f>
        <v>9.9549999999999983</v>
      </c>
      <c r="I39" s="70"/>
      <c r="J39" s="70"/>
      <c r="K39" s="70"/>
      <c r="L39" s="69">
        <f>L38-0.05</f>
        <v>9.9059999999999988</v>
      </c>
      <c r="Q39" s="32"/>
      <c r="R39" s="32"/>
    </row>
    <row r="40" spans="2:18" x14ac:dyDescent="0.4">
      <c r="B40" s="93"/>
      <c r="C40" s="62" t="s">
        <v>54</v>
      </c>
      <c r="D40" s="63">
        <v>0.05</v>
      </c>
      <c r="E40" s="64"/>
      <c r="F40" s="63">
        <f>F37-F39</f>
        <v>4.1000000000000369E-2</v>
      </c>
      <c r="G40" s="63">
        <f>G37-G39</f>
        <v>2.1000000000000796E-2</v>
      </c>
      <c r="H40" s="63">
        <f>H37-H39</f>
        <v>4.2000000000001592E-2</v>
      </c>
      <c r="I40" s="64"/>
      <c r="J40" s="64"/>
      <c r="K40" s="64"/>
      <c r="L40" s="63">
        <v>0.05</v>
      </c>
      <c r="Q40" s="32"/>
      <c r="R40" s="32"/>
    </row>
    <row r="41" spans="2:18" ht="7.5" customHeight="1" x14ac:dyDescent="0.4">
      <c r="B41" s="71"/>
      <c r="C41" s="73"/>
      <c r="D41" s="74"/>
      <c r="E41" s="75"/>
      <c r="F41" s="74"/>
      <c r="G41" s="74"/>
      <c r="H41" s="74"/>
      <c r="I41" s="74"/>
      <c r="J41" s="75"/>
      <c r="K41" s="75"/>
      <c r="L41" s="72"/>
      <c r="Q41" s="32"/>
      <c r="R41" s="32"/>
    </row>
    <row r="42" spans="2:18" x14ac:dyDescent="0.4">
      <c r="B42" s="94" t="s">
        <v>35</v>
      </c>
      <c r="C42" s="60" t="s">
        <v>51</v>
      </c>
      <c r="D42" s="61">
        <v>10.052</v>
      </c>
      <c r="E42" s="59"/>
      <c r="F42" s="61">
        <v>10.055999999999999</v>
      </c>
      <c r="G42" s="61">
        <v>10.054</v>
      </c>
      <c r="H42" s="59">
        <v>10.007999999999999</v>
      </c>
      <c r="I42" s="59"/>
      <c r="J42" s="59"/>
      <c r="K42" s="59"/>
      <c r="L42" s="59">
        <v>9.9589999999999996</v>
      </c>
      <c r="N42" s="38">
        <v>3.14</v>
      </c>
      <c r="O42" s="38">
        <v>3.79</v>
      </c>
      <c r="Q42" s="32">
        <v>1E-3</v>
      </c>
      <c r="R42" s="32">
        <v>2.5000000000000001E-2</v>
      </c>
    </row>
    <row r="43" spans="2:18" x14ac:dyDescent="0.4">
      <c r="B43" s="95"/>
      <c r="C43" s="65" t="s">
        <v>52</v>
      </c>
      <c r="D43" s="66">
        <v>10.052</v>
      </c>
      <c r="E43" s="67"/>
      <c r="F43" s="66">
        <f>G43-($F$1*Q42)</f>
        <v>10.052999999999999</v>
      </c>
      <c r="G43" s="66">
        <v>10.055</v>
      </c>
      <c r="H43" s="67">
        <f>G43-($H$1*R42)</f>
        <v>10.004999999999999</v>
      </c>
      <c r="I43" s="67"/>
      <c r="J43" s="67"/>
      <c r="K43" s="67"/>
      <c r="L43" s="67">
        <v>9.9589999999999996</v>
      </c>
      <c r="Q43" s="32"/>
      <c r="R43" s="32"/>
    </row>
    <row r="44" spans="2:18" x14ac:dyDescent="0.4">
      <c r="B44" s="95"/>
      <c r="C44" s="68" t="s">
        <v>53</v>
      </c>
      <c r="D44" s="69">
        <f>D43-0.05</f>
        <v>10.001999999999999</v>
      </c>
      <c r="E44" s="70"/>
      <c r="F44" s="69">
        <f>F43-0.05</f>
        <v>10.002999999999998</v>
      </c>
      <c r="G44" s="69">
        <f>G43-0.05</f>
        <v>10.004999999999999</v>
      </c>
      <c r="H44" s="69">
        <f>H43-0.05</f>
        <v>9.9549999999999983</v>
      </c>
      <c r="I44" s="70"/>
      <c r="J44" s="70"/>
      <c r="K44" s="70"/>
      <c r="L44" s="69">
        <f>L43-0.05</f>
        <v>9.9089999999999989</v>
      </c>
      <c r="Q44" s="32"/>
      <c r="R44" s="32"/>
    </row>
    <row r="45" spans="2:18" x14ac:dyDescent="0.4">
      <c r="B45" s="96"/>
      <c r="C45" s="62" t="s">
        <v>54</v>
      </c>
      <c r="D45" s="63">
        <v>0.05</v>
      </c>
      <c r="E45" s="64"/>
      <c r="F45" s="63">
        <f>F42-F44</f>
        <v>5.3000000000000824E-2</v>
      </c>
      <c r="G45" s="63">
        <f>G42-G44</f>
        <v>4.9000000000001265E-2</v>
      </c>
      <c r="H45" s="63">
        <f>H42-H44</f>
        <v>5.3000000000000824E-2</v>
      </c>
      <c r="I45" s="64"/>
      <c r="J45" s="64"/>
      <c r="K45" s="64"/>
      <c r="L45" s="63">
        <v>0.05</v>
      </c>
      <c r="Q45" s="32"/>
      <c r="R45" s="32"/>
    </row>
    <row r="46" spans="2:18" ht="7.5" customHeight="1" x14ac:dyDescent="0.4">
      <c r="B46" s="71"/>
      <c r="C46" s="73"/>
      <c r="D46" s="74"/>
      <c r="E46" s="75"/>
      <c r="F46" s="74"/>
      <c r="G46" s="74"/>
      <c r="H46" s="74"/>
      <c r="I46" s="74"/>
      <c r="J46" s="75"/>
      <c r="K46" s="75"/>
      <c r="L46" s="72"/>
      <c r="Q46" s="32"/>
      <c r="R46" s="32"/>
    </row>
    <row r="47" spans="2:18" x14ac:dyDescent="0.4">
      <c r="B47" s="91" t="s">
        <v>8</v>
      </c>
      <c r="C47" s="60" t="s">
        <v>51</v>
      </c>
      <c r="D47" s="61">
        <v>10.002000000000001</v>
      </c>
      <c r="E47" s="59"/>
      <c r="F47" s="61">
        <v>10.013999999999999</v>
      </c>
      <c r="G47" s="61">
        <v>10.045999999999999</v>
      </c>
      <c r="H47" s="59">
        <v>10.006</v>
      </c>
      <c r="I47" s="59"/>
      <c r="J47" s="59"/>
      <c r="K47" s="59"/>
      <c r="L47" s="59">
        <v>9.968</v>
      </c>
      <c r="N47" s="38">
        <v>3.18</v>
      </c>
      <c r="O47" s="38">
        <v>3.47</v>
      </c>
      <c r="Q47" s="32">
        <v>1.7000000000000001E-2</v>
      </c>
      <c r="R47" s="32">
        <v>2.5000000000000001E-2</v>
      </c>
    </row>
    <row r="48" spans="2:18" x14ac:dyDescent="0.4">
      <c r="B48" s="92"/>
      <c r="C48" s="65" t="s">
        <v>52</v>
      </c>
      <c r="D48" s="66">
        <v>10.002000000000001</v>
      </c>
      <c r="E48" s="67"/>
      <c r="F48" s="66">
        <f>G48-($F$1*Q47)</f>
        <v>10.020999999999999</v>
      </c>
      <c r="G48" s="66">
        <v>10.055</v>
      </c>
      <c r="H48" s="67">
        <f>G48-($H$1*R47)</f>
        <v>10.004999999999999</v>
      </c>
      <c r="I48" s="67"/>
      <c r="J48" s="67"/>
      <c r="K48" s="67"/>
      <c r="L48" s="67">
        <v>9.968</v>
      </c>
      <c r="Q48" s="32"/>
      <c r="R48" s="32"/>
    </row>
    <row r="49" spans="2:18" x14ac:dyDescent="0.4">
      <c r="B49" s="92"/>
      <c r="C49" s="68" t="s">
        <v>53</v>
      </c>
      <c r="D49" s="69">
        <f>D48-0.05</f>
        <v>9.952</v>
      </c>
      <c r="E49" s="70"/>
      <c r="F49" s="69">
        <f>F48-0.05</f>
        <v>9.9709999999999983</v>
      </c>
      <c r="G49" s="69">
        <f>G48-0.05</f>
        <v>10.004999999999999</v>
      </c>
      <c r="H49" s="69">
        <f>H48-0.05</f>
        <v>9.9549999999999983</v>
      </c>
      <c r="I49" s="70"/>
      <c r="J49" s="70"/>
      <c r="K49" s="70"/>
      <c r="L49" s="69">
        <f>L48-0.05</f>
        <v>9.9179999999999993</v>
      </c>
      <c r="Q49" s="32"/>
      <c r="R49" s="32"/>
    </row>
    <row r="50" spans="2:18" x14ac:dyDescent="0.4">
      <c r="B50" s="93"/>
      <c r="C50" s="62" t="s">
        <v>54</v>
      </c>
      <c r="D50" s="63">
        <v>0.05</v>
      </c>
      <c r="E50" s="64"/>
      <c r="F50" s="63">
        <f>F47-F49</f>
        <v>4.3000000000001037E-2</v>
      </c>
      <c r="G50" s="63">
        <f>G47-G49</f>
        <v>4.1000000000000369E-2</v>
      </c>
      <c r="H50" s="63">
        <f>H47-H49</f>
        <v>5.1000000000001933E-2</v>
      </c>
      <c r="I50" s="64"/>
      <c r="J50" s="64"/>
      <c r="K50" s="64"/>
      <c r="L50" s="63">
        <v>0.05</v>
      </c>
      <c r="Q50" s="32"/>
      <c r="R50" s="32"/>
    </row>
    <row r="51" spans="2:18" ht="7.5" customHeight="1" x14ac:dyDescent="0.4">
      <c r="B51" s="71"/>
      <c r="C51" s="73"/>
      <c r="D51" s="74"/>
      <c r="E51" s="75"/>
      <c r="F51" s="74"/>
      <c r="G51" s="74"/>
      <c r="H51" s="74"/>
      <c r="I51" s="74"/>
      <c r="J51" s="75"/>
      <c r="K51" s="75"/>
      <c r="L51" s="72"/>
      <c r="Q51" s="32"/>
      <c r="R51" s="32"/>
    </row>
    <row r="52" spans="2:18" x14ac:dyDescent="0.4">
      <c r="B52" s="91" t="s">
        <v>9</v>
      </c>
      <c r="C52" s="60" t="s">
        <v>51</v>
      </c>
      <c r="D52" s="61">
        <v>9.9960000000000004</v>
      </c>
      <c r="E52" s="59"/>
      <c r="F52" s="61">
        <v>10.016999999999999</v>
      </c>
      <c r="G52" s="61">
        <v>10.048999999999999</v>
      </c>
      <c r="H52" s="59">
        <v>10.015000000000001</v>
      </c>
      <c r="I52" s="59"/>
      <c r="J52" s="59"/>
      <c r="K52" s="59"/>
      <c r="L52" s="59">
        <v>9.9920000000000009</v>
      </c>
      <c r="N52" s="38">
        <v>3.2</v>
      </c>
      <c r="O52" s="38">
        <v>3.2</v>
      </c>
      <c r="Q52" s="32">
        <v>1.7999999999999999E-2</v>
      </c>
      <c r="R52" s="32">
        <v>0.02</v>
      </c>
    </row>
    <row r="53" spans="2:18" x14ac:dyDescent="0.4">
      <c r="B53" s="92"/>
      <c r="C53" s="65" t="s">
        <v>52</v>
      </c>
      <c r="D53" s="66">
        <v>9.9960000000000004</v>
      </c>
      <c r="E53" s="67"/>
      <c r="F53" s="66">
        <f>G53-($F$1*Q52)</f>
        <v>10.019</v>
      </c>
      <c r="G53" s="66">
        <v>10.055</v>
      </c>
      <c r="H53" s="67">
        <f>G53-($H$1*R52)</f>
        <v>10.015000000000001</v>
      </c>
      <c r="I53" s="67"/>
      <c r="J53" s="67"/>
      <c r="K53" s="67"/>
      <c r="L53" s="67">
        <v>9.9920000000000009</v>
      </c>
      <c r="Q53" s="32"/>
      <c r="R53" s="32"/>
    </row>
    <row r="54" spans="2:18" x14ac:dyDescent="0.4">
      <c r="B54" s="92"/>
      <c r="C54" s="68" t="s">
        <v>53</v>
      </c>
      <c r="D54" s="69">
        <f>D53-0.05</f>
        <v>9.9459999999999997</v>
      </c>
      <c r="E54" s="70"/>
      <c r="F54" s="69">
        <f>F53-0.05</f>
        <v>9.9689999999999994</v>
      </c>
      <c r="G54" s="69">
        <f>G53-0.05</f>
        <v>10.004999999999999</v>
      </c>
      <c r="H54" s="69">
        <f>H53-0.05</f>
        <v>9.9649999999999999</v>
      </c>
      <c r="I54" s="70"/>
      <c r="J54" s="70"/>
      <c r="K54" s="70"/>
      <c r="L54" s="69">
        <f>L53-0.05</f>
        <v>9.9420000000000002</v>
      </c>
      <c r="Q54" s="32"/>
      <c r="R54" s="32"/>
    </row>
    <row r="55" spans="2:18" x14ac:dyDescent="0.4">
      <c r="B55" s="93"/>
      <c r="C55" s="62" t="s">
        <v>54</v>
      </c>
      <c r="D55" s="63">
        <v>0.05</v>
      </c>
      <c r="E55" s="64"/>
      <c r="F55" s="63">
        <f>F52-F54</f>
        <v>4.8000000000000043E-2</v>
      </c>
      <c r="G55" s="63">
        <f>G52-G54</f>
        <v>4.4000000000000483E-2</v>
      </c>
      <c r="H55" s="63">
        <f>H52-H54</f>
        <v>5.0000000000000711E-2</v>
      </c>
      <c r="I55" s="64"/>
      <c r="J55" s="64"/>
      <c r="K55" s="64"/>
      <c r="L55" s="63">
        <v>0.05</v>
      </c>
      <c r="Q55" s="32"/>
      <c r="R55" s="32"/>
    </row>
    <row r="56" spans="2:18" ht="7.5" customHeight="1" x14ac:dyDescent="0.4">
      <c r="B56" s="71"/>
      <c r="C56" s="73"/>
      <c r="D56" s="74"/>
      <c r="E56" s="75"/>
      <c r="F56" s="74"/>
      <c r="G56" s="74"/>
      <c r="H56" s="74"/>
      <c r="I56" s="74"/>
      <c r="J56" s="75"/>
      <c r="K56" s="75"/>
      <c r="L56" s="72"/>
      <c r="Q56" s="32"/>
      <c r="R56" s="32"/>
    </row>
    <row r="57" spans="2:18" x14ac:dyDescent="0.4">
      <c r="B57" s="91" t="s">
        <v>31</v>
      </c>
      <c r="C57" s="60" t="s">
        <v>51</v>
      </c>
      <c r="D57" s="61">
        <v>10.002000000000001</v>
      </c>
      <c r="E57" s="59"/>
      <c r="F57" s="61">
        <v>10.029</v>
      </c>
      <c r="G57" s="61">
        <v>10.068</v>
      </c>
      <c r="H57" s="59">
        <v>10.026999999999999</v>
      </c>
      <c r="I57" s="59"/>
      <c r="J57" s="59"/>
      <c r="K57" s="59"/>
      <c r="L57" s="59">
        <v>9.9990000000000006</v>
      </c>
      <c r="N57" s="38">
        <v>3.19</v>
      </c>
      <c r="O57" s="38">
        <v>3.18</v>
      </c>
      <c r="Q57" s="32">
        <v>2.3E-2</v>
      </c>
      <c r="R57" s="32">
        <v>2.4E-2</v>
      </c>
    </row>
    <row r="58" spans="2:18" x14ac:dyDescent="0.4">
      <c r="B58" s="92"/>
      <c r="C58" s="65" t="s">
        <v>52</v>
      </c>
      <c r="D58" s="66">
        <v>10.002000000000001</v>
      </c>
      <c r="E58" s="67"/>
      <c r="F58" s="66">
        <f>G58-($F$1*Q57)</f>
        <v>10.030000000000001</v>
      </c>
      <c r="G58" s="66">
        <v>10.076000000000001</v>
      </c>
      <c r="H58" s="67">
        <f>G58-($H$1*R57)</f>
        <v>10.028</v>
      </c>
      <c r="I58" s="66"/>
      <c r="J58" s="67"/>
      <c r="K58" s="67"/>
      <c r="L58" s="67">
        <v>9.9990000000000006</v>
      </c>
      <c r="Q58" s="32"/>
      <c r="R58" s="32"/>
    </row>
    <row r="59" spans="2:18" x14ac:dyDescent="0.4">
      <c r="B59" s="92"/>
      <c r="C59" s="68" t="s">
        <v>53</v>
      </c>
      <c r="D59" s="69">
        <f>D58-0.05</f>
        <v>9.952</v>
      </c>
      <c r="E59" s="70"/>
      <c r="F59" s="69">
        <f>F58-0.05</f>
        <v>9.98</v>
      </c>
      <c r="G59" s="69">
        <f>G58-0.05</f>
        <v>10.026</v>
      </c>
      <c r="H59" s="69">
        <f>H58-0.05</f>
        <v>9.9779999999999998</v>
      </c>
      <c r="I59" s="70"/>
      <c r="J59" s="70"/>
      <c r="K59" s="70"/>
      <c r="L59" s="69">
        <f>L58-0.05</f>
        <v>9.9489999999999998</v>
      </c>
      <c r="Q59" s="32"/>
      <c r="R59" s="32"/>
    </row>
    <row r="60" spans="2:18" x14ac:dyDescent="0.4">
      <c r="B60" s="93"/>
      <c r="C60" s="62" t="s">
        <v>54</v>
      </c>
      <c r="D60" s="63">
        <v>0.05</v>
      </c>
      <c r="E60" s="64"/>
      <c r="F60" s="63">
        <f>F57-F59</f>
        <v>4.8999999999999488E-2</v>
      </c>
      <c r="G60" s="63">
        <f>G57-G59</f>
        <v>4.1999999999999815E-2</v>
      </c>
      <c r="H60" s="63">
        <f>H57-H59</f>
        <v>4.8999999999999488E-2</v>
      </c>
      <c r="I60" s="64"/>
      <c r="J60" s="64"/>
      <c r="K60" s="64"/>
      <c r="L60" s="63">
        <v>0.05</v>
      </c>
      <c r="Q60" s="32"/>
      <c r="R60" s="32"/>
    </row>
    <row r="61" spans="2:18" ht="7.5" customHeight="1" x14ac:dyDescent="0.4">
      <c r="B61" s="71"/>
      <c r="C61" s="73"/>
      <c r="D61" s="74"/>
      <c r="E61" s="75"/>
      <c r="F61" s="74"/>
      <c r="G61" s="74"/>
      <c r="H61" s="74"/>
      <c r="I61" s="74"/>
      <c r="J61" s="75"/>
      <c r="K61" s="75"/>
      <c r="L61" s="72"/>
      <c r="Q61" s="32"/>
      <c r="R61" s="32"/>
    </row>
    <row r="62" spans="2:18" x14ac:dyDescent="0.4">
      <c r="B62" s="91" t="s">
        <v>11</v>
      </c>
      <c r="C62" s="60" t="s">
        <v>51</v>
      </c>
      <c r="D62" s="61">
        <v>10.019</v>
      </c>
      <c r="E62" s="59"/>
      <c r="F62" s="61">
        <v>10.047000000000001</v>
      </c>
      <c r="G62" s="61">
        <v>10.087999999999999</v>
      </c>
      <c r="H62" s="59">
        <v>10.048</v>
      </c>
      <c r="I62" s="59"/>
      <c r="J62" s="59"/>
      <c r="K62" s="59"/>
      <c r="L62" s="59">
        <v>10.023999999999999</v>
      </c>
      <c r="N62" s="38">
        <v>3.2</v>
      </c>
      <c r="O62" s="38">
        <v>3.18</v>
      </c>
      <c r="Q62" s="32">
        <v>2.4E-2</v>
      </c>
      <c r="R62" s="32">
        <v>2.3E-2</v>
      </c>
    </row>
    <row r="63" spans="2:18" x14ac:dyDescent="0.4">
      <c r="B63" s="92"/>
      <c r="C63" s="65" t="s">
        <v>52</v>
      </c>
      <c r="D63" s="66">
        <v>10.019</v>
      </c>
      <c r="E63" s="67"/>
      <c r="F63" s="66">
        <f>G63-($F$1*Q62)</f>
        <v>10.048999999999999</v>
      </c>
      <c r="G63" s="66">
        <v>10.097</v>
      </c>
      <c r="H63" s="67">
        <f>G63-($H$1*R62)</f>
        <v>10.051</v>
      </c>
      <c r="I63" s="67"/>
      <c r="J63" s="67"/>
      <c r="K63" s="67"/>
      <c r="L63" s="67">
        <v>10.023999999999999</v>
      </c>
      <c r="Q63" s="32"/>
      <c r="R63" s="32"/>
    </row>
    <row r="64" spans="2:18" x14ac:dyDescent="0.4">
      <c r="B64" s="92"/>
      <c r="C64" s="68" t="s">
        <v>53</v>
      </c>
      <c r="D64" s="69">
        <f>D63-0.05</f>
        <v>9.9689999999999994</v>
      </c>
      <c r="E64" s="70"/>
      <c r="F64" s="69">
        <f>F63-0.05</f>
        <v>9.9989999999999988</v>
      </c>
      <c r="G64" s="69">
        <f>G63-0.05</f>
        <v>10.046999999999999</v>
      </c>
      <c r="H64" s="69">
        <f>H63-0.05</f>
        <v>10.000999999999999</v>
      </c>
      <c r="I64" s="70"/>
      <c r="J64" s="70"/>
      <c r="K64" s="70"/>
      <c r="L64" s="69">
        <f>L63-0.05</f>
        <v>9.9739999999999984</v>
      </c>
      <c r="Q64" s="32"/>
      <c r="R64" s="32"/>
    </row>
    <row r="65" spans="2:18" x14ac:dyDescent="0.4">
      <c r="B65" s="93"/>
      <c r="C65" s="62" t="s">
        <v>54</v>
      </c>
      <c r="D65" s="63">
        <v>0.05</v>
      </c>
      <c r="E65" s="64"/>
      <c r="F65" s="63">
        <f>F62-F64</f>
        <v>4.8000000000001819E-2</v>
      </c>
      <c r="G65" s="63">
        <f>G62-G64</f>
        <v>4.1000000000000369E-2</v>
      </c>
      <c r="H65" s="63">
        <f>H62-H64</f>
        <v>4.7000000000000597E-2</v>
      </c>
      <c r="I65" s="64"/>
      <c r="J65" s="64"/>
      <c r="K65" s="64"/>
      <c r="L65" s="63">
        <v>0.05</v>
      </c>
      <c r="Q65" s="32"/>
      <c r="R65" s="32"/>
    </row>
    <row r="66" spans="2:18" ht="7.5" customHeight="1" x14ac:dyDescent="0.4">
      <c r="B66" s="71"/>
      <c r="C66" s="73"/>
      <c r="D66" s="74"/>
      <c r="E66" s="75"/>
      <c r="F66" s="74"/>
      <c r="G66" s="74"/>
      <c r="H66" s="74"/>
      <c r="I66" s="74"/>
      <c r="J66" s="75"/>
      <c r="K66" s="75"/>
      <c r="L66" s="72"/>
      <c r="Q66" s="32"/>
      <c r="R66" s="32"/>
    </row>
    <row r="67" spans="2:18" x14ac:dyDescent="0.4">
      <c r="B67" s="91" t="s">
        <v>12</v>
      </c>
      <c r="C67" s="60" t="s">
        <v>51</v>
      </c>
      <c r="D67" s="61">
        <v>10.037000000000001</v>
      </c>
      <c r="E67" s="59"/>
      <c r="F67" s="61">
        <v>10.055</v>
      </c>
      <c r="G67" s="61">
        <v>10.089</v>
      </c>
      <c r="H67" s="61">
        <v>10.06</v>
      </c>
      <c r="I67" s="59"/>
      <c r="J67" s="59"/>
      <c r="K67" s="59"/>
      <c r="L67" s="59">
        <v>10.035</v>
      </c>
      <c r="N67" s="38">
        <v>3.18</v>
      </c>
      <c r="O67" s="38">
        <v>3.2</v>
      </c>
      <c r="Q67" s="32">
        <v>2.5000000000000001E-2</v>
      </c>
      <c r="R67" s="32">
        <v>2.5999999999999999E-2</v>
      </c>
    </row>
    <row r="68" spans="2:18" x14ac:dyDescent="0.4">
      <c r="B68" s="92"/>
      <c r="C68" s="65" t="s">
        <v>52</v>
      </c>
      <c r="D68" s="66">
        <v>10.037000000000001</v>
      </c>
      <c r="E68" s="67"/>
      <c r="F68" s="66">
        <f>G68-($F$1*Q67)</f>
        <v>10.068</v>
      </c>
      <c r="G68" s="66">
        <v>10.118</v>
      </c>
      <c r="H68" s="67">
        <f>G68-($H$1*R67)</f>
        <v>10.066000000000001</v>
      </c>
      <c r="I68" s="67"/>
      <c r="J68" s="67"/>
      <c r="K68" s="67"/>
      <c r="L68" s="67">
        <v>10.035</v>
      </c>
      <c r="Q68" s="32"/>
      <c r="R68" s="32"/>
    </row>
    <row r="69" spans="2:18" x14ac:dyDescent="0.4">
      <c r="B69" s="92"/>
      <c r="C69" s="68" t="s">
        <v>53</v>
      </c>
      <c r="D69" s="69">
        <f>D68-0.05</f>
        <v>9.9870000000000001</v>
      </c>
      <c r="E69" s="70"/>
      <c r="F69" s="69">
        <f>F68-0.05</f>
        <v>10.017999999999999</v>
      </c>
      <c r="G69" s="69">
        <f>G68-0.05</f>
        <v>10.068</v>
      </c>
      <c r="H69" s="69">
        <f>H68-0.05</f>
        <v>10.016</v>
      </c>
      <c r="I69" s="70"/>
      <c r="J69" s="70"/>
      <c r="K69" s="70"/>
      <c r="L69" s="69">
        <f>L68-0.05</f>
        <v>9.9849999999999994</v>
      </c>
      <c r="Q69" s="32"/>
      <c r="R69" s="32"/>
    </row>
    <row r="70" spans="2:18" x14ac:dyDescent="0.4">
      <c r="B70" s="93"/>
      <c r="C70" s="62" t="s">
        <v>54</v>
      </c>
      <c r="D70" s="63">
        <v>0.05</v>
      </c>
      <c r="E70" s="64"/>
      <c r="F70" s="63">
        <f>F67-F69</f>
        <v>3.700000000000081E-2</v>
      </c>
      <c r="G70" s="63">
        <f>G67-G69</f>
        <v>2.1000000000000796E-2</v>
      </c>
      <c r="H70" s="63">
        <f>H67-H69</f>
        <v>4.4000000000000483E-2</v>
      </c>
      <c r="I70" s="64"/>
      <c r="J70" s="64"/>
      <c r="K70" s="64"/>
      <c r="L70" s="63">
        <v>0.05</v>
      </c>
      <c r="Q70" s="32"/>
      <c r="R70" s="32"/>
    </row>
    <row r="71" spans="2:18" ht="7.5" customHeight="1" x14ac:dyDescent="0.4">
      <c r="B71" s="71"/>
      <c r="C71" s="73"/>
      <c r="D71" s="74"/>
      <c r="E71" s="75"/>
      <c r="F71" s="74"/>
      <c r="G71" s="74"/>
      <c r="H71" s="74"/>
      <c r="I71" s="74"/>
      <c r="J71" s="75"/>
      <c r="K71" s="75"/>
      <c r="L71" s="72"/>
      <c r="Q71" s="32"/>
      <c r="R71" s="32"/>
    </row>
    <row r="72" spans="2:18" x14ac:dyDescent="0.4">
      <c r="B72" s="91" t="s">
        <v>13</v>
      </c>
      <c r="C72" s="60" t="s">
        <v>51</v>
      </c>
      <c r="D72" s="61">
        <v>10.103</v>
      </c>
      <c r="E72" s="59"/>
      <c r="F72" s="61">
        <v>10.106</v>
      </c>
      <c r="G72" s="61">
        <v>10.138</v>
      </c>
      <c r="H72" s="59">
        <v>10.105</v>
      </c>
      <c r="I72" s="59"/>
      <c r="J72" s="59"/>
      <c r="K72" s="59"/>
      <c r="L72" s="59">
        <v>10.071999999999999</v>
      </c>
      <c r="N72" s="38">
        <v>3.2</v>
      </c>
      <c r="O72" s="38">
        <v>3.2</v>
      </c>
      <c r="Q72" s="32">
        <v>1.0999999999999999E-2</v>
      </c>
      <c r="R72" s="32">
        <v>2.1000000000000001E-2</v>
      </c>
    </row>
    <row r="73" spans="2:18" x14ac:dyDescent="0.4">
      <c r="B73" s="92"/>
      <c r="C73" s="65" t="s">
        <v>52</v>
      </c>
      <c r="D73" s="66">
        <v>10.103</v>
      </c>
      <c r="E73" s="67"/>
      <c r="F73" s="66">
        <f>G73-($F$1*Q72)</f>
        <v>10.116999999999999</v>
      </c>
      <c r="G73" s="66">
        <v>10.138999999999999</v>
      </c>
      <c r="H73" s="67">
        <f>G73-($H$1*R72)</f>
        <v>10.097</v>
      </c>
      <c r="I73" s="67"/>
      <c r="J73" s="67"/>
      <c r="K73" s="67"/>
      <c r="L73" s="67">
        <v>10.071999999999999</v>
      </c>
      <c r="Q73" s="32"/>
      <c r="R73" s="32"/>
    </row>
    <row r="74" spans="2:18" x14ac:dyDescent="0.4">
      <c r="B74" s="92"/>
      <c r="C74" s="68" t="s">
        <v>53</v>
      </c>
      <c r="D74" s="69">
        <f>D73-0.05</f>
        <v>10.052999999999999</v>
      </c>
      <c r="E74" s="70"/>
      <c r="F74" s="69">
        <f>F73-0.05</f>
        <v>10.066999999999998</v>
      </c>
      <c r="G74" s="69">
        <f>G73-0.05</f>
        <v>10.088999999999999</v>
      </c>
      <c r="H74" s="69">
        <f>H73-0.05</f>
        <v>10.046999999999999</v>
      </c>
      <c r="I74" s="70"/>
      <c r="J74" s="70"/>
      <c r="K74" s="70"/>
      <c r="L74" s="69">
        <f>L73-0.05</f>
        <v>10.021999999999998</v>
      </c>
      <c r="Q74" s="32"/>
      <c r="R74" s="32"/>
    </row>
    <row r="75" spans="2:18" x14ac:dyDescent="0.4">
      <c r="B75" s="93"/>
      <c r="C75" s="62" t="s">
        <v>54</v>
      </c>
      <c r="D75" s="63">
        <v>0.05</v>
      </c>
      <c r="E75" s="64"/>
      <c r="F75" s="63">
        <f>F72-F74</f>
        <v>3.9000000000001478E-2</v>
      </c>
      <c r="G75" s="63">
        <f>G72-G74</f>
        <v>4.9000000000001265E-2</v>
      </c>
      <c r="H75" s="63">
        <f>H72-H74</f>
        <v>5.8000000000001606E-2</v>
      </c>
      <c r="I75" s="64"/>
      <c r="J75" s="64"/>
      <c r="K75" s="64"/>
      <c r="L75" s="63">
        <v>0.05</v>
      </c>
      <c r="Q75" s="32"/>
      <c r="R75" s="32"/>
    </row>
    <row r="76" spans="2:18" ht="7.5" customHeight="1" x14ac:dyDescent="0.4">
      <c r="B76" s="71"/>
      <c r="C76" s="73"/>
      <c r="D76" s="74"/>
      <c r="E76" s="75"/>
      <c r="F76" s="74"/>
      <c r="G76" s="74"/>
      <c r="H76" s="74"/>
      <c r="I76" s="74"/>
      <c r="J76" s="75"/>
      <c r="K76" s="75"/>
      <c r="L76" s="72"/>
      <c r="Q76" s="32"/>
      <c r="R76" s="32"/>
    </row>
    <row r="77" spans="2:18" x14ac:dyDescent="0.4">
      <c r="B77" s="94" t="s">
        <v>44</v>
      </c>
      <c r="C77" s="60" t="s">
        <v>51</v>
      </c>
      <c r="D77" s="61">
        <v>10.132</v>
      </c>
      <c r="E77" s="59"/>
      <c r="F77" s="61">
        <v>10.128</v>
      </c>
      <c r="G77" s="61">
        <v>10.153</v>
      </c>
      <c r="H77" s="59">
        <v>10.112</v>
      </c>
      <c r="I77" s="59"/>
      <c r="J77" s="59"/>
      <c r="K77" s="59"/>
      <c r="L77" s="61">
        <v>10.07</v>
      </c>
      <c r="N77" s="38">
        <v>3.18</v>
      </c>
      <c r="O77" s="38">
        <v>3.2</v>
      </c>
      <c r="Q77" s="32">
        <v>6.0000000000000001E-3</v>
      </c>
      <c r="R77" s="32">
        <v>2.5000000000000001E-2</v>
      </c>
    </row>
    <row r="78" spans="2:18" x14ac:dyDescent="0.4">
      <c r="B78" s="95"/>
      <c r="C78" s="65" t="s">
        <v>52</v>
      </c>
      <c r="D78" s="66">
        <v>10.132</v>
      </c>
      <c r="E78" s="67"/>
      <c r="F78" s="66">
        <f>G78-($F$1*Q77)</f>
        <v>10.138</v>
      </c>
      <c r="G78" s="66">
        <v>10.15</v>
      </c>
      <c r="H78" s="66">
        <f>G78-($H$1*R77)</f>
        <v>10.1</v>
      </c>
      <c r="I78" s="67"/>
      <c r="J78" s="67"/>
      <c r="K78" s="67"/>
      <c r="L78" s="66">
        <v>10.07</v>
      </c>
      <c r="Q78" s="32"/>
      <c r="R78" s="32"/>
    </row>
    <row r="79" spans="2:18" x14ac:dyDescent="0.4">
      <c r="B79" s="95"/>
      <c r="C79" s="68" t="s">
        <v>53</v>
      </c>
      <c r="D79" s="69">
        <f>D78-0.05</f>
        <v>10.081999999999999</v>
      </c>
      <c r="E79" s="70"/>
      <c r="F79" s="69">
        <f>F78-0.05</f>
        <v>10.087999999999999</v>
      </c>
      <c r="G79" s="69">
        <f>G78-0.05</f>
        <v>10.1</v>
      </c>
      <c r="H79" s="69">
        <f>H78-0.05</f>
        <v>10.049999999999999</v>
      </c>
      <c r="I79" s="70"/>
      <c r="J79" s="70"/>
      <c r="K79" s="70"/>
      <c r="L79" s="69">
        <f>L78-0.05</f>
        <v>10.02</v>
      </c>
      <c r="Q79" s="32"/>
      <c r="R79" s="32"/>
    </row>
    <row r="80" spans="2:18" x14ac:dyDescent="0.4">
      <c r="B80" s="96"/>
      <c r="C80" s="62" t="s">
        <v>54</v>
      </c>
      <c r="D80" s="63">
        <v>0.05</v>
      </c>
      <c r="E80" s="64"/>
      <c r="F80" s="63">
        <f>F77-F79</f>
        <v>4.0000000000000924E-2</v>
      </c>
      <c r="G80" s="63">
        <f>G77-G79</f>
        <v>5.3000000000000824E-2</v>
      </c>
      <c r="H80" s="63">
        <f>H77-H79</f>
        <v>6.2000000000001165E-2</v>
      </c>
      <c r="I80" s="64"/>
      <c r="J80" s="64"/>
      <c r="K80" s="64"/>
      <c r="L80" s="63">
        <v>0.05</v>
      </c>
      <c r="Q80" s="32"/>
      <c r="R80" s="32"/>
    </row>
    <row r="81" spans="2:18" ht="7.5" customHeight="1" x14ac:dyDescent="0.4">
      <c r="B81" s="71"/>
      <c r="C81" s="73"/>
      <c r="D81" s="74"/>
      <c r="E81" s="75"/>
      <c r="F81" s="74"/>
      <c r="G81" s="74"/>
      <c r="H81" s="74"/>
      <c r="I81" s="74"/>
      <c r="J81" s="75"/>
      <c r="K81" s="75"/>
      <c r="L81" s="72"/>
      <c r="Q81" s="32"/>
      <c r="R81" s="32"/>
    </row>
    <row r="82" spans="2:18" x14ac:dyDescent="0.4">
      <c r="B82" s="91" t="s">
        <v>14</v>
      </c>
      <c r="C82" s="60" t="s">
        <v>51</v>
      </c>
      <c r="D82" s="61">
        <v>10.108000000000001</v>
      </c>
      <c r="E82" s="59"/>
      <c r="F82" s="61">
        <v>10.122999999999999</v>
      </c>
      <c r="G82" s="61">
        <v>10.154</v>
      </c>
      <c r="H82" s="59">
        <v>10.135</v>
      </c>
      <c r="I82" s="59"/>
      <c r="J82" s="59"/>
      <c r="K82" s="59"/>
      <c r="L82" s="59">
        <v>10.098000000000001</v>
      </c>
      <c r="N82" s="38">
        <v>3.18</v>
      </c>
      <c r="O82" s="38">
        <v>3.2</v>
      </c>
      <c r="Q82" s="32">
        <v>1.7999999999999999E-2</v>
      </c>
      <c r="R82" s="32">
        <v>2.1000000000000001E-2</v>
      </c>
    </row>
    <row r="83" spans="2:18" x14ac:dyDescent="0.4">
      <c r="B83" s="92"/>
      <c r="C83" s="65" t="s">
        <v>52</v>
      </c>
      <c r="D83" s="66">
        <v>10.108000000000001</v>
      </c>
      <c r="E83" s="67"/>
      <c r="F83" s="66">
        <f>G83-($F$1*Q82)</f>
        <v>10.130000000000001</v>
      </c>
      <c r="G83" s="66">
        <v>10.166</v>
      </c>
      <c r="H83" s="67">
        <f>G83-($H$1*R82)</f>
        <v>10.124000000000001</v>
      </c>
      <c r="I83" s="67"/>
      <c r="J83" s="67"/>
      <c r="K83" s="67"/>
      <c r="L83" s="67">
        <v>10.098000000000001</v>
      </c>
      <c r="Q83" s="32"/>
      <c r="R83" s="32"/>
    </row>
    <row r="84" spans="2:18" x14ac:dyDescent="0.4">
      <c r="B84" s="92"/>
      <c r="C84" s="68" t="s">
        <v>53</v>
      </c>
      <c r="D84" s="69">
        <f>D83-0.05</f>
        <v>10.058</v>
      </c>
      <c r="E84" s="70"/>
      <c r="F84" s="69">
        <f>F83-0.05</f>
        <v>10.08</v>
      </c>
      <c r="G84" s="69">
        <f>G83-0.05</f>
        <v>10.116</v>
      </c>
      <c r="H84" s="69">
        <f>H83-0.05</f>
        <v>10.074</v>
      </c>
      <c r="I84" s="70"/>
      <c r="J84" s="70"/>
      <c r="K84" s="70"/>
      <c r="L84" s="69">
        <f>L83-0.05</f>
        <v>10.048</v>
      </c>
      <c r="Q84" s="32"/>
      <c r="R84" s="32"/>
    </row>
    <row r="85" spans="2:18" x14ac:dyDescent="0.4">
      <c r="B85" s="93"/>
      <c r="C85" s="62" t="s">
        <v>54</v>
      </c>
      <c r="D85" s="63">
        <v>0.05</v>
      </c>
      <c r="E85" s="64"/>
      <c r="F85" s="63">
        <f>F82-F84</f>
        <v>4.2999999999999261E-2</v>
      </c>
      <c r="G85" s="63">
        <f>G82-G84</f>
        <v>3.8000000000000256E-2</v>
      </c>
      <c r="H85" s="63">
        <f>H82-H84</f>
        <v>6.0999999999999943E-2</v>
      </c>
      <c r="I85" s="64"/>
      <c r="J85" s="64"/>
      <c r="K85" s="64"/>
      <c r="L85" s="63">
        <v>0.05</v>
      </c>
      <c r="Q85" s="32"/>
      <c r="R85" s="32"/>
    </row>
    <row r="86" spans="2:18" ht="7.5" customHeight="1" x14ac:dyDescent="0.4">
      <c r="B86" s="71"/>
      <c r="C86" s="73"/>
      <c r="D86" s="74"/>
      <c r="E86" s="75"/>
      <c r="F86" s="74"/>
      <c r="G86" s="74"/>
      <c r="H86" s="74"/>
      <c r="I86" s="74"/>
      <c r="J86" s="75"/>
      <c r="K86" s="75"/>
      <c r="L86" s="72"/>
      <c r="Q86" s="32"/>
      <c r="R86" s="32"/>
    </row>
    <row r="87" spans="2:18" x14ac:dyDescent="0.4">
      <c r="B87" s="91" t="s">
        <v>15</v>
      </c>
      <c r="C87" s="60" t="s">
        <v>51</v>
      </c>
      <c r="D87" s="61">
        <v>10.14</v>
      </c>
      <c r="E87" s="59"/>
      <c r="F87" s="61">
        <v>10.157999999999999</v>
      </c>
      <c r="G87" s="61">
        <v>10.192</v>
      </c>
      <c r="H87" s="59">
        <v>10.172000000000001</v>
      </c>
      <c r="I87" s="59"/>
      <c r="J87" s="59"/>
      <c r="K87" s="59"/>
      <c r="L87" s="59">
        <v>10.141999999999999</v>
      </c>
      <c r="N87" s="38">
        <v>3.18</v>
      </c>
      <c r="O87" s="38">
        <v>3.19</v>
      </c>
      <c r="Q87" s="32">
        <v>1.7000000000000001E-2</v>
      </c>
      <c r="R87" s="32">
        <v>1.6E-2</v>
      </c>
    </row>
    <row r="88" spans="2:18" x14ac:dyDescent="0.4">
      <c r="B88" s="92"/>
      <c r="C88" s="65" t="s">
        <v>52</v>
      </c>
      <c r="D88" s="66">
        <v>10.14</v>
      </c>
      <c r="E88" s="67"/>
      <c r="F88" s="66">
        <f>G88-($F$1*Q87)</f>
        <v>10.158999999999999</v>
      </c>
      <c r="G88" s="66">
        <v>10.193</v>
      </c>
      <c r="H88" s="67">
        <f>G88-($H$1*R87)</f>
        <v>10.161</v>
      </c>
      <c r="I88" s="67"/>
      <c r="J88" s="67"/>
      <c r="K88" s="67"/>
      <c r="L88" s="67">
        <v>10.141999999999999</v>
      </c>
      <c r="Q88" s="32"/>
      <c r="R88" s="32"/>
    </row>
    <row r="89" spans="2:18" x14ac:dyDescent="0.4">
      <c r="B89" s="92"/>
      <c r="C89" s="68" t="s">
        <v>53</v>
      </c>
      <c r="D89" s="69">
        <f>D88-0.05</f>
        <v>10.09</v>
      </c>
      <c r="E89" s="70"/>
      <c r="F89" s="69">
        <f>F88-0.05</f>
        <v>10.108999999999998</v>
      </c>
      <c r="G89" s="69">
        <f>G88-0.05</f>
        <v>10.142999999999999</v>
      </c>
      <c r="H89" s="69">
        <f>H88-0.05</f>
        <v>10.110999999999999</v>
      </c>
      <c r="I89" s="70"/>
      <c r="J89" s="70"/>
      <c r="K89" s="70"/>
      <c r="L89" s="69">
        <f>L88-0.05</f>
        <v>10.091999999999999</v>
      </c>
      <c r="Q89" s="32"/>
      <c r="R89" s="32"/>
    </row>
    <row r="90" spans="2:18" x14ac:dyDescent="0.4">
      <c r="B90" s="93"/>
      <c r="C90" s="62" t="s">
        <v>54</v>
      </c>
      <c r="D90" s="63">
        <v>0.05</v>
      </c>
      <c r="E90" s="64"/>
      <c r="F90" s="63">
        <f>F87-F89</f>
        <v>4.9000000000001265E-2</v>
      </c>
      <c r="G90" s="63">
        <f>G87-G89</f>
        <v>4.9000000000001265E-2</v>
      </c>
      <c r="H90" s="63">
        <f>H87-H89</f>
        <v>6.100000000000172E-2</v>
      </c>
      <c r="I90" s="64"/>
      <c r="J90" s="64"/>
      <c r="K90" s="64"/>
      <c r="L90" s="63">
        <v>0.05</v>
      </c>
      <c r="Q90" s="32"/>
      <c r="R90" s="32"/>
    </row>
    <row r="91" spans="2:18" ht="7.5" customHeight="1" x14ac:dyDescent="0.4">
      <c r="B91" s="71"/>
      <c r="C91" s="73"/>
      <c r="D91" s="74"/>
      <c r="E91" s="75"/>
      <c r="F91" s="74"/>
      <c r="G91" s="74"/>
      <c r="H91" s="74"/>
      <c r="I91" s="74"/>
      <c r="J91" s="75"/>
      <c r="K91" s="75"/>
      <c r="L91" s="72"/>
      <c r="Q91" s="32"/>
      <c r="R91" s="32"/>
    </row>
    <row r="92" spans="2:18" x14ac:dyDescent="0.4">
      <c r="B92" s="91" t="s">
        <v>16</v>
      </c>
      <c r="C92" s="60" t="s">
        <v>51</v>
      </c>
      <c r="D92" s="61">
        <v>10.196</v>
      </c>
      <c r="E92" s="59"/>
      <c r="F92" s="61">
        <v>10.212</v>
      </c>
      <c r="G92" s="61">
        <v>10.228</v>
      </c>
      <c r="H92" s="59">
        <v>10.208</v>
      </c>
      <c r="I92" s="59"/>
      <c r="J92" s="59"/>
      <c r="K92" s="59"/>
      <c r="L92" s="61">
        <v>10.19</v>
      </c>
      <c r="N92" s="38">
        <v>3.18</v>
      </c>
      <c r="O92" s="38">
        <v>3.19</v>
      </c>
      <c r="Q92" s="32">
        <v>1.7000000000000001E-2</v>
      </c>
      <c r="R92" s="32">
        <v>1.9E-2</v>
      </c>
    </row>
    <row r="93" spans="2:18" x14ac:dyDescent="0.4">
      <c r="B93" s="92"/>
      <c r="C93" s="65" t="s">
        <v>52</v>
      </c>
      <c r="D93" s="66">
        <v>10.196</v>
      </c>
      <c r="E93" s="67"/>
      <c r="F93" s="66">
        <f>G93-($F$1*Q92)</f>
        <v>10.215999999999999</v>
      </c>
      <c r="G93" s="66">
        <v>10.25</v>
      </c>
      <c r="H93" s="67">
        <f>G93-($H$1*R92)</f>
        <v>10.212</v>
      </c>
      <c r="I93" s="67"/>
      <c r="J93" s="67"/>
      <c r="K93" s="67"/>
      <c r="L93" s="66">
        <v>10.19</v>
      </c>
      <c r="Q93" s="32"/>
      <c r="R93" s="32"/>
    </row>
    <row r="94" spans="2:18" x14ac:dyDescent="0.4">
      <c r="B94" s="92"/>
      <c r="C94" s="68" t="s">
        <v>53</v>
      </c>
      <c r="D94" s="69">
        <f>D93-0.05</f>
        <v>10.145999999999999</v>
      </c>
      <c r="E94" s="70"/>
      <c r="F94" s="69">
        <f>F93-0.05</f>
        <v>10.165999999999999</v>
      </c>
      <c r="G94" s="69">
        <f>G93-0.05</f>
        <v>10.199999999999999</v>
      </c>
      <c r="H94" s="69">
        <f>H93-0.05</f>
        <v>10.161999999999999</v>
      </c>
      <c r="I94" s="70"/>
      <c r="J94" s="70"/>
      <c r="K94" s="70"/>
      <c r="L94" s="69">
        <f>L93-0.05</f>
        <v>10.139999999999999</v>
      </c>
      <c r="Q94" s="32"/>
      <c r="R94" s="32"/>
    </row>
    <row r="95" spans="2:18" x14ac:dyDescent="0.4">
      <c r="B95" s="93"/>
      <c r="C95" s="62" t="s">
        <v>54</v>
      </c>
      <c r="D95" s="63">
        <v>0.05</v>
      </c>
      <c r="E95" s="64"/>
      <c r="F95" s="63">
        <f>F92-F94</f>
        <v>4.6000000000001151E-2</v>
      </c>
      <c r="G95" s="63">
        <f>G92-G94</f>
        <v>2.8000000000000469E-2</v>
      </c>
      <c r="H95" s="63">
        <f>H92-H94</f>
        <v>4.6000000000001151E-2</v>
      </c>
      <c r="I95" s="64"/>
      <c r="J95" s="64"/>
      <c r="K95" s="64"/>
      <c r="L95" s="63">
        <v>0.05</v>
      </c>
      <c r="Q95" s="32"/>
      <c r="R95" s="32"/>
    </row>
    <row r="96" spans="2:18" ht="7.5" customHeight="1" x14ac:dyDescent="0.4">
      <c r="B96" s="71"/>
      <c r="C96" s="73"/>
      <c r="D96" s="74"/>
      <c r="E96" s="75"/>
      <c r="F96" s="74"/>
      <c r="G96" s="74"/>
      <c r="H96" s="74"/>
      <c r="I96" s="74"/>
      <c r="J96" s="75"/>
      <c r="K96" s="75"/>
      <c r="L96" s="72"/>
      <c r="Q96" s="32"/>
      <c r="R96" s="32"/>
    </row>
    <row r="97" spans="2:18" x14ac:dyDescent="0.4">
      <c r="B97" s="91" t="s">
        <v>17</v>
      </c>
      <c r="C97" s="60" t="s">
        <v>51</v>
      </c>
      <c r="D97" s="61">
        <v>10.236000000000001</v>
      </c>
      <c r="E97" s="59"/>
      <c r="F97" s="61">
        <v>10.255000000000001</v>
      </c>
      <c r="G97" s="61">
        <v>10.298999999999999</v>
      </c>
      <c r="H97" s="59">
        <v>10.260999999999999</v>
      </c>
      <c r="I97" s="59"/>
      <c r="J97" s="59"/>
      <c r="K97" s="59"/>
      <c r="L97" s="59">
        <v>10.234</v>
      </c>
      <c r="N97" s="38">
        <v>3.17</v>
      </c>
      <c r="O97" s="38">
        <v>3.19</v>
      </c>
      <c r="Q97" s="32">
        <v>2.1999999999999999E-2</v>
      </c>
      <c r="R97" s="32">
        <v>2.3E-2</v>
      </c>
    </row>
    <row r="98" spans="2:18" x14ac:dyDescent="0.4">
      <c r="B98" s="92"/>
      <c r="C98" s="65" t="s">
        <v>52</v>
      </c>
      <c r="D98" s="66">
        <v>10.236000000000001</v>
      </c>
      <c r="E98" s="67"/>
      <c r="F98" s="66">
        <f>G98-($F$1*Q97)</f>
        <v>10.263</v>
      </c>
      <c r="G98" s="66">
        <v>10.307</v>
      </c>
      <c r="H98" s="67">
        <f>G98-($H$1*R97)</f>
        <v>10.261000000000001</v>
      </c>
      <c r="I98" s="67"/>
      <c r="J98" s="67"/>
      <c r="K98" s="67"/>
      <c r="L98" s="67">
        <v>10.234</v>
      </c>
      <c r="Q98" s="32"/>
      <c r="R98" s="32"/>
    </row>
    <row r="99" spans="2:18" x14ac:dyDescent="0.4">
      <c r="B99" s="92"/>
      <c r="C99" s="68" t="s">
        <v>53</v>
      </c>
      <c r="D99" s="69">
        <f>D98-0.05</f>
        <v>10.186</v>
      </c>
      <c r="E99" s="70"/>
      <c r="F99" s="69">
        <f>F98-0.05</f>
        <v>10.212999999999999</v>
      </c>
      <c r="G99" s="69">
        <f>G98-0.05</f>
        <v>10.257</v>
      </c>
      <c r="H99" s="69">
        <f>H98-0.05</f>
        <v>10.211</v>
      </c>
      <c r="I99" s="70"/>
      <c r="J99" s="70"/>
      <c r="K99" s="70"/>
      <c r="L99" s="69">
        <f>L98-0.05</f>
        <v>10.183999999999999</v>
      </c>
      <c r="Q99" s="32"/>
      <c r="R99" s="32"/>
    </row>
    <row r="100" spans="2:18" x14ac:dyDescent="0.4">
      <c r="B100" s="93"/>
      <c r="C100" s="62" t="s">
        <v>54</v>
      </c>
      <c r="D100" s="63">
        <v>0.05</v>
      </c>
      <c r="E100" s="64"/>
      <c r="F100" s="63">
        <f>F97-F99</f>
        <v>4.2000000000001592E-2</v>
      </c>
      <c r="G100" s="63">
        <f>G97-G99</f>
        <v>4.1999999999999815E-2</v>
      </c>
      <c r="H100" s="63">
        <f>H97-H99</f>
        <v>4.9999999999998934E-2</v>
      </c>
      <c r="I100" s="64"/>
      <c r="J100" s="64"/>
      <c r="K100" s="64"/>
      <c r="L100" s="63">
        <v>0.05</v>
      </c>
      <c r="Q100" s="32"/>
      <c r="R100" s="32"/>
    </row>
    <row r="101" spans="2:18" ht="7.5" customHeight="1" x14ac:dyDescent="0.4">
      <c r="B101" s="71"/>
      <c r="C101" s="73"/>
      <c r="D101" s="74"/>
      <c r="E101" s="75"/>
      <c r="F101" s="74"/>
      <c r="G101" s="74"/>
      <c r="H101" s="74"/>
      <c r="I101" s="74"/>
      <c r="J101" s="75"/>
      <c r="K101" s="75"/>
      <c r="L101" s="72"/>
      <c r="Q101" s="32"/>
      <c r="R101" s="32"/>
    </row>
    <row r="102" spans="2:18" x14ac:dyDescent="0.4">
      <c r="B102" s="91" t="s">
        <v>18</v>
      </c>
      <c r="C102" s="60" t="s">
        <v>51</v>
      </c>
      <c r="D102" s="61">
        <v>10.359</v>
      </c>
      <c r="E102" s="59"/>
      <c r="F102" s="61">
        <v>10.368</v>
      </c>
      <c r="G102" s="61">
        <v>10.364000000000001</v>
      </c>
      <c r="H102" s="59">
        <v>10.384</v>
      </c>
      <c r="I102" s="59"/>
      <c r="J102" s="59"/>
      <c r="K102" s="59"/>
      <c r="L102" s="59">
        <v>10.398999999999999</v>
      </c>
      <c r="N102" s="38">
        <v>3.2</v>
      </c>
      <c r="O102" s="38">
        <v>3.2</v>
      </c>
      <c r="Q102" s="32">
        <v>2E-3</v>
      </c>
      <c r="R102" s="32">
        <v>-1.0999999999999999E-2</v>
      </c>
    </row>
    <row r="103" spans="2:18" x14ac:dyDescent="0.4">
      <c r="B103" s="92"/>
      <c r="C103" s="65" t="s">
        <v>52</v>
      </c>
      <c r="D103" s="66">
        <v>10.359</v>
      </c>
      <c r="E103" s="67"/>
      <c r="F103" s="66">
        <f>G103-($F$1*Q102)</f>
        <v>10.360000000000001</v>
      </c>
      <c r="G103" s="66">
        <v>10.364000000000001</v>
      </c>
      <c r="H103" s="67">
        <f>G103-($H$1*R102)</f>
        <v>10.386000000000001</v>
      </c>
      <c r="I103" s="67"/>
      <c r="J103" s="67"/>
      <c r="K103" s="67"/>
      <c r="L103" s="67">
        <v>10.398999999999999</v>
      </c>
      <c r="Q103" s="32"/>
      <c r="R103" s="32"/>
    </row>
    <row r="104" spans="2:18" x14ac:dyDescent="0.4">
      <c r="B104" s="92"/>
      <c r="C104" s="68" t="s">
        <v>53</v>
      </c>
      <c r="D104" s="69">
        <f>D103-0.05</f>
        <v>10.308999999999999</v>
      </c>
      <c r="E104" s="70"/>
      <c r="F104" s="69">
        <f>F103-0.05</f>
        <v>10.31</v>
      </c>
      <c r="G104" s="69">
        <f>G103-0.05</f>
        <v>10.314</v>
      </c>
      <c r="H104" s="69">
        <f>H103-0.05</f>
        <v>10.336</v>
      </c>
      <c r="I104" s="70"/>
      <c r="J104" s="70"/>
      <c r="K104" s="70"/>
      <c r="L104" s="69">
        <f>L103-0.05</f>
        <v>10.348999999999998</v>
      </c>
      <c r="Q104" s="32"/>
      <c r="R104" s="32"/>
    </row>
    <row r="105" spans="2:18" x14ac:dyDescent="0.4">
      <c r="B105" s="93"/>
      <c r="C105" s="62" t="s">
        <v>54</v>
      </c>
      <c r="D105" s="63">
        <v>0.05</v>
      </c>
      <c r="E105" s="64"/>
      <c r="F105" s="63">
        <f>F102-F104</f>
        <v>5.7999999999999829E-2</v>
      </c>
      <c r="G105" s="63">
        <f>G102-G104</f>
        <v>5.0000000000000711E-2</v>
      </c>
      <c r="H105" s="63">
        <f>H102-H104</f>
        <v>4.8000000000000043E-2</v>
      </c>
      <c r="I105" s="64"/>
      <c r="J105" s="64"/>
      <c r="K105" s="64"/>
      <c r="L105" s="63">
        <v>0.05</v>
      </c>
      <c r="Q105" s="32"/>
      <c r="R105" s="32"/>
    </row>
    <row r="106" spans="2:18" ht="7.5" customHeight="1" x14ac:dyDescent="0.4">
      <c r="B106" s="71"/>
      <c r="C106" s="73"/>
      <c r="D106" s="74"/>
      <c r="E106" s="75"/>
      <c r="F106" s="74"/>
      <c r="G106" s="74"/>
      <c r="H106" s="74"/>
      <c r="I106" s="74"/>
      <c r="J106" s="75"/>
      <c r="K106" s="75"/>
      <c r="L106" s="72"/>
      <c r="Q106" s="32"/>
      <c r="R106" s="32"/>
    </row>
    <row r="107" spans="2:18" x14ac:dyDescent="0.4">
      <c r="B107" s="94" t="s">
        <v>37</v>
      </c>
      <c r="C107" s="60" t="s">
        <v>51</v>
      </c>
      <c r="D107" s="61">
        <v>10.372</v>
      </c>
      <c r="E107" s="59"/>
      <c r="F107" s="61">
        <v>10.371</v>
      </c>
      <c r="G107" s="61">
        <v>10.375999999999999</v>
      </c>
      <c r="H107" s="59">
        <v>10.388</v>
      </c>
      <c r="I107" s="59"/>
      <c r="J107" s="59"/>
      <c r="K107" s="59"/>
      <c r="L107" s="59">
        <v>10.385999999999999</v>
      </c>
      <c r="N107" s="38">
        <v>3.18</v>
      </c>
      <c r="O107" s="38">
        <v>3.2</v>
      </c>
      <c r="Q107" s="32">
        <v>2E-3</v>
      </c>
      <c r="R107" s="32">
        <v>-2E-3</v>
      </c>
    </row>
    <row r="108" spans="2:18" x14ac:dyDescent="0.4">
      <c r="B108" s="95"/>
      <c r="C108" s="65" t="s">
        <v>52</v>
      </c>
      <c r="D108" s="66">
        <v>10.372</v>
      </c>
      <c r="E108" s="67"/>
      <c r="F108" s="66">
        <f>G108-($F$1*Q107)</f>
        <v>10.375</v>
      </c>
      <c r="G108" s="66">
        <v>10.379</v>
      </c>
      <c r="H108" s="67">
        <f>G108-($H$1*R107)</f>
        <v>10.382999999999999</v>
      </c>
      <c r="I108" s="67"/>
      <c r="J108" s="67"/>
      <c r="K108" s="67"/>
      <c r="L108" s="67">
        <v>10.385999999999999</v>
      </c>
      <c r="Q108" s="32"/>
      <c r="R108" s="32"/>
    </row>
    <row r="109" spans="2:18" x14ac:dyDescent="0.4">
      <c r="B109" s="95"/>
      <c r="C109" s="68" t="s">
        <v>53</v>
      </c>
      <c r="D109" s="69">
        <f>D108-0.05</f>
        <v>10.321999999999999</v>
      </c>
      <c r="E109" s="70"/>
      <c r="F109" s="69">
        <f>F108-0.05</f>
        <v>10.324999999999999</v>
      </c>
      <c r="G109" s="69">
        <f>G108-0.05</f>
        <v>10.328999999999999</v>
      </c>
      <c r="H109" s="69">
        <f>H108-0.05</f>
        <v>10.332999999999998</v>
      </c>
      <c r="I109" s="70"/>
      <c r="J109" s="70"/>
      <c r="K109" s="70"/>
      <c r="L109" s="69">
        <f>L108-0.05</f>
        <v>10.335999999999999</v>
      </c>
      <c r="Q109" s="32"/>
      <c r="R109" s="32"/>
    </row>
    <row r="110" spans="2:18" x14ac:dyDescent="0.4">
      <c r="B110" s="96"/>
      <c r="C110" s="62" t="s">
        <v>54</v>
      </c>
      <c r="D110" s="63">
        <v>0.05</v>
      </c>
      <c r="E110" s="64"/>
      <c r="F110" s="63">
        <f>F107-F109</f>
        <v>4.6000000000001151E-2</v>
      </c>
      <c r="G110" s="63">
        <f>G107-G109</f>
        <v>4.7000000000000597E-2</v>
      </c>
      <c r="H110" s="63">
        <f>H107-H109</f>
        <v>5.5000000000001492E-2</v>
      </c>
      <c r="I110" s="64"/>
      <c r="J110" s="64"/>
      <c r="K110" s="64"/>
      <c r="L110" s="63">
        <v>0.05</v>
      </c>
      <c r="Q110" s="32"/>
      <c r="R110" s="32"/>
    </row>
    <row r="111" spans="2:18" ht="7.5" customHeight="1" x14ac:dyDescent="0.4">
      <c r="B111" s="71"/>
      <c r="C111" s="73"/>
      <c r="D111" s="74"/>
      <c r="E111" s="75"/>
      <c r="F111" s="74"/>
      <c r="G111" s="74"/>
      <c r="H111" s="74"/>
      <c r="I111" s="74"/>
      <c r="J111" s="75"/>
      <c r="K111" s="75"/>
      <c r="L111" s="72"/>
      <c r="Q111" s="32"/>
      <c r="R111" s="32"/>
    </row>
    <row r="112" spans="2:18" x14ac:dyDescent="0.4">
      <c r="B112" s="91" t="s">
        <v>19</v>
      </c>
      <c r="C112" s="60" t="s">
        <v>51</v>
      </c>
      <c r="D112" s="61">
        <v>10.365</v>
      </c>
      <c r="E112" s="59"/>
      <c r="F112" s="61">
        <v>10.384</v>
      </c>
      <c r="G112" s="61">
        <v>10.414</v>
      </c>
      <c r="H112" s="59">
        <v>10.366</v>
      </c>
      <c r="I112" s="59"/>
      <c r="J112" s="59"/>
      <c r="K112" s="59"/>
      <c r="L112" s="59">
        <v>10.348000000000001</v>
      </c>
      <c r="N112" s="38">
        <v>3.22</v>
      </c>
      <c r="O112" s="38">
        <v>3.2</v>
      </c>
      <c r="Q112" s="32">
        <v>1.9E-2</v>
      </c>
      <c r="R112" s="32">
        <v>2.4E-2</v>
      </c>
    </row>
    <row r="113" spans="2:18" x14ac:dyDescent="0.4">
      <c r="B113" s="92"/>
      <c r="C113" s="65" t="s">
        <v>52</v>
      </c>
      <c r="D113" s="66">
        <v>10.365</v>
      </c>
      <c r="E113" s="67"/>
      <c r="F113" s="66">
        <f>G113-($F$1*Q112)</f>
        <v>10.388</v>
      </c>
      <c r="G113" s="66">
        <v>10.426</v>
      </c>
      <c r="H113" s="67">
        <f>G113-($H$1*R112)</f>
        <v>10.378</v>
      </c>
      <c r="I113" s="67"/>
      <c r="J113" s="67"/>
      <c r="K113" s="67"/>
      <c r="L113" s="67">
        <v>10.348000000000001</v>
      </c>
      <c r="Q113" s="32"/>
      <c r="R113" s="32"/>
    </row>
    <row r="114" spans="2:18" x14ac:dyDescent="0.4">
      <c r="B114" s="92"/>
      <c r="C114" s="68" t="s">
        <v>53</v>
      </c>
      <c r="D114" s="69">
        <f>D113-0.05</f>
        <v>10.315</v>
      </c>
      <c r="E114" s="70"/>
      <c r="F114" s="69">
        <f>F113-0.05</f>
        <v>10.337999999999999</v>
      </c>
      <c r="G114" s="69">
        <f>G113-0.05</f>
        <v>10.375999999999999</v>
      </c>
      <c r="H114" s="69">
        <f>H113-0.05</f>
        <v>10.327999999999999</v>
      </c>
      <c r="I114" s="70"/>
      <c r="J114" s="70"/>
      <c r="K114" s="70"/>
      <c r="L114" s="69">
        <f>L113-0.05</f>
        <v>10.298</v>
      </c>
      <c r="Q114" s="32"/>
      <c r="R114" s="32"/>
    </row>
    <row r="115" spans="2:18" x14ac:dyDescent="0.4">
      <c r="B115" s="93"/>
      <c r="C115" s="62" t="s">
        <v>54</v>
      </c>
      <c r="D115" s="63">
        <v>0.05</v>
      </c>
      <c r="E115" s="64"/>
      <c r="F115" s="63">
        <f>F112-F114</f>
        <v>4.6000000000001151E-2</v>
      </c>
      <c r="G115" s="63">
        <f>G112-G114</f>
        <v>3.8000000000000256E-2</v>
      </c>
      <c r="H115" s="63">
        <f>H112-H114</f>
        <v>3.8000000000000256E-2</v>
      </c>
      <c r="I115" s="64"/>
      <c r="J115" s="64"/>
      <c r="K115" s="64"/>
      <c r="L115" s="63">
        <v>0.05</v>
      </c>
      <c r="Q115" s="32"/>
      <c r="R115" s="32"/>
    </row>
    <row r="116" spans="2:18" ht="7.5" customHeight="1" x14ac:dyDescent="0.4">
      <c r="B116" s="71"/>
      <c r="C116" s="73"/>
      <c r="D116" s="74"/>
      <c r="E116" s="75"/>
      <c r="F116" s="74"/>
      <c r="G116" s="74"/>
      <c r="H116" s="74"/>
      <c r="I116" s="74"/>
      <c r="J116" s="75"/>
      <c r="K116" s="75"/>
      <c r="L116" s="72"/>
      <c r="Q116" s="32"/>
      <c r="R116" s="32"/>
    </row>
    <row r="117" spans="2:18" x14ac:dyDescent="0.4">
      <c r="B117" s="91" t="s">
        <v>20</v>
      </c>
      <c r="C117" s="60" t="s">
        <v>51</v>
      </c>
      <c r="D117" s="61">
        <v>10.404</v>
      </c>
      <c r="E117" s="59"/>
      <c r="F117" s="61">
        <v>10.435</v>
      </c>
      <c r="G117" s="61">
        <v>10.465</v>
      </c>
      <c r="H117" s="59">
        <v>10.433</v>
      </c>
      <c r="I117" s="59"/>
      <c r="J117" s="59"/>
      <c r="K117" s="59"/>
      <c r="L117" s="59">
        <v>10.419</v>
      </c>
      <c r="N117" s="38">
        <v>3.18</v>
      </c>
      <c r="O117" s="38">
        <v>3.2</v>
      </c>
      <c r="Q117" s="32">
        <v>2.5999999999999999E-2</v>
      </c>
      <c r="R117" s="32">
        <v>2.1999999999999999E-2</v>
      </c>
    </row>
    <row r="118" spans="2:18" x14ac:dyDescent="0.4">
      <c r="B118" s="92"/>
      <c r="C118" s="65" t="s">
        <v>52</v>
      </c>
      <c r="D118" s="66">
        <v>10.404</v>
      </c>
      <c r="E118" s="67"/>
      <c r="F118" s="66">
        <f>G118-($F$1*Q117)</f>
        <v>10.436</v>
      </c>
      <c r="G118" s="66">
        <v>10.488</v>
      </c>
      <c r="H118" s="67">
        <f>G118-($H$1*R117)</f>
        <v>10.443999999999999</v>
      </c>
      <c r="I118" s="67"/>
      <c r="J118" s="67"/>
      <c r="K118" s="67"/>
      <c r="L118" s="67">
        <v>10.419</v>
      </c>
      <c r="Q118" s="32"/>
      <c r="R118" s="32"/>
    </row>
    <row r="119" spans="2:18" x14ac:dyDescent="0.4">
      <c r="B119" s="92"/>
      <c r="C119" s="68" t="s">
        <v>53</v>
      </c>
      <c r="D119" s="69">
        <f>D118-0.05</f>
        <v>10.353999999999999</v>
      </c>
      <c r="E119" s="70"/>
      <c r="F119" s="69">
        <f>F118-0.05</f>
        <v>10.385999999999999</v>
      </c>
      <c r="G119" s="69">
        <f>G118-0.05</f>
        <v>10.437999999999999</v>
      </c>
      <c r="H119" s="69">
        <f>H118-0.05</f>
        <v>10.393999999999998</v>
      </c>
      <c r="I119" s="70"/>
      <c r="J119" s="70"/>
      <c r="K119" s="70"/>
      <c r="L119" s="69">
        <f>L118-0.05</f>
        <v>10.369</v>
      </c>
      <c r="Q119" s="32"/>
      <c r="R119" s="32"/>
    </row>
    <row r="120" spans="2:18" x14ac:dyDescent="0.4">
      <c r="B120" s="93"/>
      <c r="C120" s="62" t="s">
        <v>54</v>
      </c>
      <c r="D120" s="63">
        <v>0.05</v>
      </c>
      <c r="E120" s="64"/>
      <c r="F120" s="63">
        <f>F117-F119</f>
        <v>4.9000000000001265E-2</v>
      </c>
      <c r="G120" s="63">
        <f>G117-G119</f>
        <v>2.7000000000001023E-2</v>
      </c>
      <c r="H120" s="63">
        <f>H117-H119</f>
        <v>3.9000000000001478E-2</v>
      </c>
      <c r="I120" s="64"/>
      <c r="J120" s="64"/>
      <c r="K120" s="64"/>
      <c r="L120" s="63">
        <v>0.05</v>
      </c>
      <c r="Q120" s="32"/>
      <c r="R120" s="32"/>
    </row>
    <row r="121" spans="2:18" ht="7.5" customHeight="1" x14ac:dyDescent="0.4">
      <c r="B121" s="71"/>
      <c r="C121" s="73"/>
      <c r="D121" s="74"/>
      <c r="E121" s="75"/>
      <c r="F121" s="74"/>
      <c r="G121" s="74"/>
      <c r="H121" s="74"/>
      <c r="I121" s="74"/>
      <c r="J121" s="75"/>
      <c r="K121" s="75"/>
      <c r="L121" s="72"/>
      <c r="Q121" s="32"/>
      <c r="R121" s="32"/>
    </row>
    <row r="122" spans="2:18" x14ac:dyDescent="0.4">
      <c r="B122" s="91" t="s">
        <v>21</v>
      </c>
      <c r="C122" s="60" t="s">
        <v>51</v>
      </c>
      <c r="D122" s="61">
        <v>10.478</v>
      </c>
      <c r="E122" s="59"/>
      <c r="F122" s="61">
        <v>10.507</v>
      </c>
      <c r="G122" s="61">
        <v>10.544</v>
      </c>
      <c r="H122" s="59">
        <v>10.510999999999999</v>
      </c>
      <c r="I122" s="59"/>
      <c r="J122" s="59"/>
      <c r="K122" s="59"/>
      <c r="L122" s="59">
        <v>10.481999999999999</v>
      </c>
      <c r="N122" s="38">
        <v>3.2</v>
      </c>
      <c r="O122" s="38">
        <v>3.2</v>
      </c>
      <c r="Q122" s="32">
        <v>2.3E-2</v>
      </c>
      <c r="R122" s="32">
        <v>2.1000000000000001E-2</v>
      </c>
    </row>
    <row r="123" spans="2:18" x14ac:dyDescent="0.4">
      <c r="B123" s="92"/>
      <c r="C123" s="65" t="s">
        <v>52</v>
      </c>
      <c r="D123" s="66">
        <v>10.478</v>
      </c>
      <c r="E123" s="67"/>
      <c r="F123" s="66">
        <f>G123-($F$1*Q122)</f>
        <v>10.504000000000001</v>
      </c>
      <c r="G123" s="66">
        <v>10.55</v>
      </c>
      <c r="H123" s="67">
        <f>G123-($H$1*R122)</f>
        <v>10.508000000000001</v>
      </c>
      <c r="I123" s="67"/>
      <c r="J123" s="67"/>
      <c r="K123" s="67"/>
      <c r="L123" s="67">
        <v>10.481999999999999</v>
      </c>
      <c r="Q123" s="32"/>
      <c r="R123" s="32"/>
    </row>
    <row r="124" spans="2:18" x14ac:dyDescent="0.4">
      <c r="B124" s="92"/>
      <c r="C124" s="68" t="s">
        <v>53</v>
      </c>
      <c r="D124" s="69">
        <f>D123-0.05</f>
        <v>10.427999999999999</v>
      </c>
      <c r="E124" s="70"/>
      <c r="F124" s="69">
        <f>F123-0.05</f>
        <v>10.454000000000001</v>
      </c>
      <c r="G124" s="69">
        <f>G123-0.05</f>
        <v>10.5</v>
      </c>
      <c r="H124" s="69">
        <f>H123-0.05</f>
        <v>10.458</v>
      </c>
      <c r="I124" s="70"/>
      <c r="J124" s="70"/>
      <c r="K124" s="70"/>
      <c r="L124" s="69">
        <f>L123-0.05</f>
        <v>10.431999999999999</v>
      </c>
      <c r="Q124" s="32"/>
      <c r="R124" s="32"/>
    </row>
    <row r="125" spans="2:18" x14ac:dyDescent="0.4">
      <c r="B125" s="93"/>
      <c r="C125" s="62" t="s">
        <v>54</v>
      </c>
      <c r="D125" s="63">
        <v>0.05</v>
      </c>
      <c r="E125" s="64"/>
      <c r="F125" s="63">
        <f>F122-F124</f>
        <v>5.2999999999999048E-2</v>
      </c>
      <c r="G125" s="63">
        <f>G122-G124</f>
        <v>4.4000000000000483E-2</v>
      </c>
      <c r="H125" s="63">
        <f>H122-H124</f>
        <v>5.2999999999999048E-2</v>
      </c>
      <c r="I125" s="64"/>
      <c r="J125" s="64"/>
      <c r="K125" s="64"/>
      <c r="L125" s="63">
        <v>0.05</v>
      </c>
      <c r="Q125" s="32"/>
      <c r="R125" s="32"/>
    </row>
    <row r="126" spans="2:18" ht="7.5" customHeight="1" x14ac:dyDescent="0.4">
      <c r="B126" s="71"/>
      <c r="C126" s="73"/>
      <c r="D126" s="74"/>
      <c r="E126" s="75"/>
      <c r="F126" s="74"/>
      <c r="G126" s="74"/>
      <c r="H126" s="74"/>
      <c r="I126" s="74"/>
      <c r="J126" s="75"/>
      <c r="K126" s="75"/>
      <c r="L126" s="72"/>
      <c r="Q126" s="32"/>
      <c r="R126" s="32"/>
    </row>
    <row r="127" spans="2:18" x14ac:dyDescent="0.4">
      <c r="B127" s="94" t="s">
        <v>38</v>
      </c>
      <c r="C127" s="60" t="s">
        <v>51</v>
      </c>
      <c r="D127" s="61">
        <v>10.510999999999999</v>
      </c>
      <c r="E127" s="59"/>
      <c r="F127" s="61">
        <v>10.54</v>
      </c>
      <c r="G127" s="61">
        <v>10.589</v>
      </c>
      <c r="H127" s="59">
        <v>10.534000000000001</v>
      </c>
      <c r="I127" s="59"/>
      <c r="J127" s="59"/>
      <c r="K127" s="59"/>
      <c r="L127" s="59">
        <v>10.510999999999999</v>
      </c>
      <c r="N127" s="38">
        <v>3.18</v>
      </c>
      <c r="O127" s="38">
        <v>3.2</v>
      </c>
      <c r="Q127" s="32">
        <v>2.1999999999999999E-2</v>
      </c>
      <c r="R127" s="32">
        <v>2.1999999999999999E-2</v>
      </c>
    </row>
    <row r="128" spans="2:18" x14ac:dyDescent="0.4">
      <c r="B128" s="95"/>
      <c r="C128" s="65" t="s">
        <v>52</v>
      </c>
      <c r="D128" s="66">
        <v>10.510999999999999</v>
      </c>
      <c r="E128" s="67"/>
      <c r="F128" s="66">
        <f>G128-($F$1*Q127)</f>
        <v>10.536</v>
      </c>
      <c r="G128" s="66">
        <v>10.58</v>
      </c>
      <c r="H128" s="67">
        <f>G128-($H$1*R127)</f>
        <v>10.536</v>
      </c>
      <c r="I128" s="67"/>
      <c r="J128" s="67"/>
      <c r="K128" s="67"/>
      <c r="L128" s="67">
        <v>10.510999999999999</v>
      </c>
      <c r="Q128" s="32"/>
      <c r="R128" s="32"/>
    </row>
    <row r="129" spans="2:18" x14ac:dyDescent="0.4">
      <c r="B129" s="95"/>
      <c r="C129" s="68" t="s">
        <v>53</v>
      </c>
      <c r="D129" s="69">
        <f>D128-0.05</f>
        <v>10.460999999999999</v>
      </c>
      <c r="E129" s="70"/>
      <c r="F129" s="69">
        <f>F128-0.05</f>
        <v>10.485999999999999</v>
      </c>
      <c r="G129" s="69">
        <f>G128-0.05</f>
        <v>10.53</v>
      </c>
      <c r="H129" s="69">
        <f>H128-0.05</f>
        <v>10.485999999999999</v>
      </c>
      <c r="I129" s="70"/>
      <c r="J129" s="70"/>
      <c r="K129" s="70"/>
      <c r="L129" s="69">
        <f>L128-0.05</f>
        <v>10.460999999999999</v>
      </c>
      <c r="Q129" s="32"/>
      <c r="R129" s="32"/>
    </row>
    <row r="130" spans="2:18" x14ac:dyDescent="0.4">
      <c r="B130" s="96"/>
      <c r="C130" s="62" t="s">
        <v>54</v>
      </c>
      <c r="D130" s="63">
        <v>0.05</v>
      </c>
      <c r="E130" s="64"/>
      <c r="F130" s="63">
        <f>F127-F129</f>
        <v>5.400000000000027E-2</v>
      </c>
      <c r="G130" s="63">
        <f>G127-G129</f>
        <v>5.9000000000001052E-2</v>
      </c>
      <c r="H130" s="63">
        <f>H127-H129</f>
        <v>4.8000000000001819E-2</v>
      </c>
      <c r="I130" s="64"/>
      <c r="J130" s="64"/>
      <c r="K130" s="64"/>
      <c r="L130" s="63">
        <v>0.05</v>
      </c>
      <c r="Q130" s="32"/>
      <c r="R130" s="32"/>
    </row>
    <row r="131" spans="2:18" ht="7.5" customHeight="1" x14ac:dyDescent="0.4">
      <c r="B131" s="71"/>
      <c r="C131" s="73"/>
      <c r="D131" s="74"/>
      <c r="E131" s="75"/>
      <c r="F131" s="74"/>
      <c r="G131" s="74"/>
      <c r="H131" s="74"/>
      <c r="I131" s="74"/>
      <c r="J131" s="75"/>
      <c r="K131" s="75"/>
      <c r="L131" s="72"/>
      <c r="Q131" s="32"/>
      <c r="R131" s="32"/>
    </row>
    <row r="132" spans="2:18" x14ac:dyDescent="0.4">
      <c r="B132" s="91" t="s">
        <v>22</v>
      </c>
      <c r="C132" s="60" t="s">
        <v>51</v>
      </c>
      <c r="D132" s="61">
        <v>10.548999999999999</v>
      </c>
      <c r="E132" s="59"/>
      <c r="F132" s="61">
        <v>10.569000000000001</v>
      </c>
      <c r="G132" s="61">
        <v>10.598000000000001</v>
      </c>
      <c r="H132" s="59">
        <v>10.567</v>
      </c>
      <c r="I132" s="59"/>
      <c r="J132" s="59"/>
      <c r="K132" s="59"/>
      <c r="L132" s="59">
        <v>10.547000000000001</v>
      </c>
      <c r="N132" s="38">
        <v>3.2</v>
      </c>
      <c r="O132" s="38">
        <v>3.2</v>
      </c>
      <c r="Q132" s="32">
        <v>0.02</v>
      </c>
      <c r="R132" s="32">
        <v>0.02</v>
      </c>
    </row>
    <row r="133" spans="2:18" x14ac:dyDescent="0.4">
      <c r="B133" s="92"/>
      <c r="C133" s="65" t="s">
        <v>52</v>
      </c>
      <c r="D133" s="66">
        <v>10.548999999999999</v>
      </c>
      <c r="E133" s="67"/>
      <c r="F133" s="66">
        <f>G133-($F$1*Q132)</f>
        <v>10.572000000000001</v>
      </c>
      <c r="G133" s="66">
        <v>10.612</v>
      </c>
      <c r="H133" s="67">
        <f>G133-($H$1*R132)</f>
        <v>10.572000000000001</v>
      </c>
      <c r="I133" s="67"/>
      <c r="J133" s="67"/>
      <c r="K133" s="67"/>
      <c r="L133" s="67">
        <v>10.547000000000001</v>
      </c>
      <c r="Q133" s="32"/>
      <c r="R133" s="32"/>
    </row>
    <row r="134" spans="2:18" x14ac:dyDescent="0.4">
      <c r="B134" s="92"/>
      <c r="C134" s="68" t="s">
        <v>53</v>
      </c>
      <c r="D134" s="69">
        <f>D133-0.05</f>
        <v>10.498999999999999</v>
      </c>
      <c r="E134" s="70"/>
      <c r="F134" s="69">
        <f>F133-0.05</f>
        <v>10.522</v>
      </c>
      <c r="G134" s="69">
        <f>G133-0.05</f>
        <v>10.561999999999999</v>
      </c>
      <c r="H134" s="69">
        <f>H133-0.05</f>
        <v>10.522</v>
      </c>
      <c r="I134" s="70"/>
      <c r="J134" s="70"/>
      <c r="K134" s="70"/>
      <c r="L134" s="69">
        <f>L133-0.05</f>
        <v>10.497</v>
      </c>
      <c r="Q134" s="32"/>
      <c r="R134" s="32"/>
    </row>
    <row r="135" spans="2:18" x14ac:dyDescent="0.4">
      <c r="B135" s="93"/>
      <c r="C135" s="62" t="s">
        <v>54</v>
      </c>
      <c r="D135" s="63">
        <v>0.05</v>
      </c>
      <c r="E135" s="64"/>
      <c r="F135" s="63">
        <f>F132-F134</f>
        <v>4.7000000000000597E-2</v>
      </c>
      <c r="G135" s="63">
        <f>G132-G134</f>
        <v>3.6000000000001364E-2</v>
      </c>
      <c r="H135" s="63">
        <f>H132-H134</f>
        <v>4.4999999999999929E-2</v>
      </c>
      <c r="I135" s="64"/>
      <c r="J135" s="64"/>
      <c r="K135" s="64"/>
      <c r="L135" s="63">
        <v>0.05</v>
      </c>
      <c r="Q135" s="32"/>
      <c r="R135" s="32"/>
    </row>
    <row r="136" spans="2:18" ht="7.5" customHeight="1" x14ac:dyDescent="0.4">
      <c r="B136" s="71"/>
      <c r="C136" s="73"/>
      <c r="D136" s="74"/>
      <c r="E136" s="75"/>
      <c r="F136" s="74"/>
      <c r="G136" s="74"/>
      <c r="H136" s="74"/>
      <c r="I136" s="74"/>
      <c r="J136" s="75"/>
      <c r="K136" s="75"/>
      <c r="L136" s="72"/>
      <c r="Q136" s="32"/>
      <c r="R136" s="32"/>
    </row>
    <row r="137" spans="2:18" x14ac:dyDescent="0.4">
      <c r="B137" s="91" t="s">
        <v>23</v>
      </c>
      <c r="C137" s="60" t="s">
        <v>51</v>
      </c>
      <c r="D137" s="61">
        <v>10.606999999999999</v>
      </c>
      <c r="E137" s="59"/>
      <c r="F137" s="61">
        <v>10.629</v>
      </c>
      <c r="G137" s="61">
        <v>10.669</v>
      </c>
      <c r="H137" s="59">
        <v>10.625999999999999</v>
      </c>
      <c r="I137" s="59"/>
      <c r="J137" s="59"/>
      <c r="K137" s="59"/>
      <c r="L137" s="59">
        <v>10.619</v>
      </c>
      <c r="N137" s="38">
        <v>3.2</v>
      </c>
      <c r="O137" s="38">
        <v>3.2</v>
      </c>
      <c r="Q137" s="32">
        <v>2.1000000000000001E-2</v>
      </c>
      <c r="R137" s="32">
        <v>1.7000000000000001E-2</v>
      </c>
    </row>
    <row r="138" spans="2:18" x14ac:dyDescent="0.4">
      <c r="B138" s="92"/>
      <c r="C138" s="65" t="s">
        <v>52</v>
      </c>
      <c r="D138" s="66">
        <v>10.606999999999999</v>
      </c>
      <c r="E138" s="67"/>
      <c r="F138" s="66">
        <f>G138-($F$1*Q137)</f>
        <v>10.632</v>
      </c>
      <c r="G138" s="66">
        <v>10.673999999999999</v>
      </c>
      <c r="H138" s="66">
        <f>G138-($H$1*R137)</f>
        <v>10.639999999999999</v>
      </c>
      <c r="I138" s="67"/>
      <c r="J138" s="67"/>
      <c r="K138" s="67"/>
      <c r="L138" s="67">
        <v>10.619</v>
      </c>
      <c r="Q138" s="32"/>
      <c r="R138" s="32"/>
    </row>
    <row r="139" spans="2:18" x14ac:dyDescent="0.4">
      <c r="B139" s="92"/>
      <c r="C139" s="68" t="s">
        <v>53</v>
      </c>
      <c r="D139" s="69">
        <f>D138-0.05</f>
        <v>10.556999999999999</v>
      </c>
      <c r="E139" s="70"/>
      <c r="F139" s="69">
        <f>F138-0.05</f>
        <v>10.581999999999999</v>
      </c>
      <c r="G139" s="69">
        <f>G138-0.05</f>
        <v>10.623999999999999</v>
      </c>
      <c r="H139" s="69">
        <f>H138-0.05</f>
        <v>10.589999999999998</v>
      </c>
      <c r="I139" s="70"/>
      <c r="J139" s="70"/>
      <c r="K139" s="70"/>
      <c r="L139" s="69">
        <f>L138-0.05</f>
        <v>10.568999999999999</v>
      </c>
      <c r="Q139" s="32"/>
      <c r="R139" s="32"/>
    </row>
    <row r="140" spans="2:18" x14ac:dyDescent="0.4">
      <c r="B140" s="93"/>
      <c r="C140" s="62" t="s">
        <v>54</v>
      </c>
      <c r="D140" s="63">
        <v>0.05</v>
      </c>
      <c r="E140" s="64"/>
      <c r="F140" s="63">
        <f>F137-F139</f>
        <v>4.7000000000000597E-2</v>
      </c>
      <c r="G140" s="63">
        <f>G137-G139</f>
        <v>4.5000000000001705E-2</v>
      </c>
      <c r="H140" s="63">
        <f>H137-H139</f>
        <v>3.6000000000001364E-2</v>
      </c>
      <c r="I140" s="64"/>
      <c r="J140" s="64"/>
      <c r="K140" s="64"/>
      <c r="L140" s="63">
        <v>0.05</v>
      </c>
      <c r="Q140" s="32"/>
      <c r="R140" s="32"/>
    </row>
    <row r="141" spans="2:18" ht="7.5" customHeight="1" x14ac:dyDescent="0.4">
      <c r="B141" s="71"/>
      <c r="C141" s="73"/>
      <c r="D141" s="74"/>
      <c r="E141" s="75"/>
      <c r="F141" s="74"/>
      <c r="G141" s="74"/>
      <c r="H141" s="74"/>
      <c r="I141" s="74"/>
      <c r="J141" s="75"/>
      <c r="K141" s="75"/>
      <c r="L141" s="72"/>
      <c r="Q141" s="32"/>
      <c r="R141" s="32"/>
    </row>
    <row r="142" spans="2:18" x14ac:dyDescent="0.4">
      <c r="B142" s="91" t="s">
        <v>39</v>
      </c>
      <c r="C142" s="60" t="s">
        <v>51</v>
      </c>
      <c r="D142" s="61">
        <v>10.629</v>
      </c>
      <c r="E142" s="59"/>
      <c r="F142" s="61">
        <v>10.648</v>
      </c>
      <c r="G142" s="61">
        <v>10.686</v>
      </c>
      <c r="H142" s="59">
        <v>10.656000000000001</v>
      </c>
      <c r="I142" s="59"/>
      <c r="J142" s="59"/>
      <c r="K142" s="59"/>
      <c r="L142" s="59">
        <v>10.638999999999999</v>
      </c>
      <c r="N142" s="38">
        <v>3.19</v>
      </c>
      <c r="O142" s="38">
        <v>3.23</v>
      </c>
      <c r="Q142" s="32">
        <v>1.7999999999999999E-2</v>
      </c>
      <c r="R142" s="32">
        <v>1.4999999999999999E-2</v>
      </c>
    </row>
    <row r="143" spans="2:18" x14ac:dyDescent="0.4">
      <c r="B143" s="92"/>
      <c r="C143" s="65" t="s">
        <v>52</v>
      </c>
      <c r="D143" s="66">
        <v>10.629</v>
      </c>
      <c r="E143" s="67"/>
      <c r="F143" s="66">
        <f>G143-($F$1*Q142)</f>
        <v>10.65</v>
      </c>
      <c r="G143" s="66">
        <v>10.686</v>
      </c>
      <c r="H143" s="67">
        <f>G143-($H$1*R142)</f>
        <v>10.656000000000001</v>
      </c>
      <c r="I143" s="67"/>
      <c r="J143" s="67"/>
      <c r="K143" s="67"/>
      <c r="L143" s="67">
        <v>10.638999999999999</v>
      </c>
    </row>
    <row r="144" spans="2:18" x14ac:dyDescent="0.4">
      <c r="B144" s="92"/>
      <c r="C144" s="68" t="s">
        <v>53</v>
      </c>
      <c r="D144" s="69">
        <f>D143-0.05</f>
        <v>10.578999999999999</v>
      </c>
      <c r="E144" s="70"/>
      <c r="F144" s="69">
        <f>F143-0.05</f>
        <v>10.6</v>
      </c>
      <c r="G144" s="69">
        <f>G143-0.05</f>
        <v>10.635999999999999</v>
      </c>
      <c r="H144" s="69">
        <f>H143-0.05</f>
        <v>10.606</v>
      </c>
      <c r="I144" s="70"/>
      <c r="J144" s="70"/>
      <c r="K144" s="70"/>
      <c r="L144" s="69">
        <f>L143-0.05</f>
        <v>10.588999999999999</v>
      </c>
    </row>
    <row r="145" spans="2:18" x14ac:dyDescent="0.4">
      <c r="B145" s="93"/>
      <c r="C145" s="62" t="s">
        <v>54</v>
      </c>
      <c r="D145" s="63">
        <v>0.05</v>
      </c>
      <c r="E145" s="64"/>
      <c r="F145" s="63">
        <f>F142-F144</f>
        <v>4.8000000000000043E-2</v>
      </c>
      <c r="G145" s="63">
        <f>G142-G144</f>
        <v>5.0000000000000711E-2</v>
      </c>
      <c r="H145" s="63">
        <f>H142-H144</f>
        <v>5.0000000000000711E-2</v>
      </c>
      <c r="I145" s="64"/>
      <c r="J145" s="64"/>
      <c r="K145" s="64"/>
      <c r="L145" s="63">
        <v>0.05</v>
      </c>
    </row>
    <row r="146" spans="2:18" ht="7.5" customHeight="1" x14ac:dyDescent="0.4">
      <c r="B146" s="71"/>
      <c r="C146" s="73"/>
      <c r="D146" s="74"/>
      <c r="E146" s="75"/>
      <c r="F146" s="74"/>
      <c r="G146" s="74"/>
      <c r="H146" s="74"/>
      <c r="I146" s="74"/>
      <c r="J146" s="75"/>
      <c r="K146" s="75"/>
      <c r="L146" s="72"/>
      <c r="Q146" s="32"/>
      <c r="R146" s="32"/>
    </row>
    <row r="147" spans="2:18" x14ac:dyDescent="0.4">
      <c r="B147" s="91" t="s">
        <v>24</v>
      </c>
      <c r="C147" s="60" t="s">
        <v>51</v>
      </c>
      <c r="D147" s="61">
        <v>10.673999999999999</v>
      </c>
      <c r="E147" s="59"/>
      <c r="F147" s="61">
        <v>10.704000000000001</v>
      </c>
      <c r="G147" s="61">
        <v>10.734999999999999</v>
      </c>
      <c r="H147" s="59">
        <v>10.721</v>
      </c>
      <c r="I147" s="59">
        <v>10.683999999999999</v>
      </c>
      <c r="J147" s="59">
        <v>10.667999999999999</v>
      </c>
      <c r="K147" s="59"/>
      <c r="L147" s="59">
        <v>10.643000000000001</v>
      </c>
      <c r="N147" s="97">
        <v>3.1</v>
      </c>
      <c r="O147" s="97">
        <v>8.6</v>
      </c>
      <c r="Q147" s="32">
        <v>0.02</v>
      </c>
      <c r="R147" s="1">
        <v>1.0999999999999999E-2</v>
      </c>
    </row>
    <row r="148" spans="2:18" x14ac:dyDescent="0.4">
      <c r="B148" s="92"/>
      <c r="C148" s="65" t="s">
        <v>52</v>
      </c>
      <c r="D148" s="66">
        <v>10.673999999999999</v>
      </c>
      <c r="E148" s="67"/>
      <c r="F148" s="66">
        <f>G148-($F$1*Q147)</f>
        <v>10.695</v>
      </c>
      <c r="G148" s="66">
        <v>10.734999999999999</v>
      </c>
      <c r="H148" s="67">
        <f>G148-($H$1*R147)</f>
        <v>10.712999999999999</v>
      </c>
      <c r="I148" s="67">
        <f>G148-($I$1*R147)</f>
        <v>10.690999999999999</v>
      </c>
      <c r="J148" s="67">
        <f>G148-($J$1*R147)</f>
        <v>10.668999999999999</v>
      </c>
      <c r="K148" s="67"/>
      <c r="L148" s="67">
        <v>10.643000000000001</v>
      </c>
    </row>
    <row r="149" spans="2:18" x14ac:dyDescent="0.4">
      <c r="B149" s="92"/>
      <c r="C149" s="68" t="s">
        <v>53</v>
      </c>
      <c r="D149" s="69">
        <f>D148-0.05</f>
        <v>10.623999999999999</v>
      </c>
      <c r="E149" s="70"/>
      <c r="F149" s="69">
        <f>F148-0.05</f>
        <v>10.645</v>
      </c>
      <c r="G149" s="69">
        <f>G148-0.05</f>
        <v>10.684999999999999</v>
      </c>
      <c r="H149" s="69">
        <f>H148-0.05</f>
        <v>10.662999999999998</v>
      </c>
      <c r="I149" s="69">
        <f>I148-0.05</f>
        <v>10.640999999999998</v>
      </c>
      <c r="J149" s="69">
        <f>J148-0.05</f>
        <v>10.618999999999998</v>
      </c>
      <c r="K149" s="70"/>
      <c r="L149" s="69">
        <f>L148-0.05</f>
        <v>10.593</v>
      </c>
    </row>
    <row r="150" spans="2:18" x14ac:dyDescent="0.4">
      <c r="B150" s="93"/>
      <c r="C150" s="62" t="s">
        <v>54</v>
      </c>
      <c r="D150" s="63">
        <v>0.05</v>
      </c>
      <c r="E150" s="64"/>
      <c r="F150" s="63">
        <f>F147-F149</f>
        <v>5.9000000000001052E-2</v>
      </c>
      <c r="G150" s="63">
        <f>G147-G149</f>
        <v>5.0000000000000711E-2</v>
      </c>
      <c r="H150" s="63">
        <f>H147-H149</f>
        <v>5.8000000000001606E-2</v>
      </c>
      <c r="I150" s="63">
        <f>I147-I149</f>
        <v>4.3000000000001037E-2</v>
      </c>
      <c r="J150" s="63">
        <f>J147-J149</f>
        <v>4.9000000000001265E-2</v>
      </c>
      <c r="K150" s="64"/>
      <c r="L150" s="63">
        <v>0.05</v>
      </c>
    </row>
    <row r="151" spans="2:18" ht="7.5" customHeight="1" x14ac:dyDescent="0.4">
      <c r="B151" s="71"/>
      <c r="C151" s="73"/>
      <c r="D151" s="74"/>
      <c r="E151" s="75"/>
      <c r="F151" s="74"/>
      <c r="G151" s="74"/>
      <c r="H151" s="74"/>
      <c r="I151" s="74"/>
      <c r="J151" s="75"/>
      <c r="K151" s="75"/>
      <c r="L151" s="72"/>
      <c r="N151" s="98"/>
      <c r="O151" s="98"/>
      <c r="Q151" s="32"/>
      <c r="R151" s="32"/>
    </row>
    <row r="152" spans="2:18" x14ac:dyDescent="0.4">
      <c r="B152" s="91" t="s">
        <v>40</v>
      </c>
      <c r="C152" s="60" t="s">
        <v>51</v>
      </c>
      <c r="D152" s="61">
        <v>10.631</v>
      </c>
      <c r="E152" s="59">
        <v>10.654999999999999</v>
      </c>
      <c r="F152" s="61">
        <v>10.676</v>
      </c>
      <c r="G152" s="61">
        <v>10.693</v>
      </c>
      <c r="H152" s="59">
        <v>10.682</v>
      </c>
      <c r="I152" s="59">
        <v>10.683999999999999</v>
      </c>
      <c r="J152" s="59">
        <v>10.683</v>
      </c>
      <c r="K152" s="61">
        <v>10.65</v>
      </c>
      <c r="L152" s="59">
        <v>10.643000000000001</v>
      </c>
      <c r="N152" s="97">
        <v>5</v>
      </c>
      <c r="O152" s="97">
        <v>9</v>
      </c>
      <c r="Q152" s="1">
        <v>1.7999999999999999E-2</v>
      </c>
      <c r="R152" s="1">
        <v>8.9999999999999993E-3</v>
      </c>
    </row>
    <row r="153" spans="2:18" x14ac:dyDescent="0.4">
      <c r="B153" s="92"/>
      <c r="C153" s="65" t="s">
        <v>52</v>
      </c>
      <c r="D153" s="66">
        <v>10.631</v>
      </c>
      <c r="E153" s="66">
        <f>G153-($E$1*Q152)</f>
        <v>10.649000000000001</v>
      </c>
      <c r="F153" s="66">
        <f>G153-($F$1*Q152)</f>
        <v>10.685</v>
      </c>
      <c r="G153" s="66">
        <v>10.721</v>
      </c>
      <c r="H153" s="67">
        <f>G153-($H$1*R152)</f>
        <v>10.702999999999999</v>
      </c>
      <c r="I153" s="67">
        <f>G153-($I$1*R152)</f>
        <v>10.685</v>
      </c>
      <c r="J153" s="67">
        <f>G153-($J$1*R152)</f>
        <v>10.667</v>
      </c>
      <c r="K153" s="67">
        <f>G153-($K$1*R152)</f>
        <v>10.649000000000001</v>
      </c>
      <c r="L153" s="67">
        <v>10.643000000000001</v>
      </c>
    </row>
    <row r="154" spans="2:18" x14ac:dyDescent="0.4">
      <c r="B154" s="92"/>
      <c r="C154" s="68" t="s">
        <v>53</v>
      </c>
      <c r="D154" s="69">
        <f>D153-0.05</f>
        <v>10.581</v>
      </c>
      <c r="E154" s="69">
        <f>E153-0.05</f>
        <v>10.599</v>
      </c>
      <c r="F154" s="69">
        <f>F153-0.05</f>
        <v>10.635</v>
      </c>
      <c r="G154" s="69">
        <f>G153-0.05</f>
        <v>10.670999999999999</v>
      </c>
      <c r="H154" s="69">
        <f>H153-0.05</f>
        <v>10.652999999999999</v>
      </c>
      <c r="I154" s="69">
        <f>I153-0.05</f>
        <v>10.635</v>
      </c>
      <c r="J154" s="69">
        <f>J153-0.05</f>
        <v>10.616999999999999</v>
      </c>
      <c r="K154" s="70"/>
      <c r="L154" s="69">
        <f>L153-0.05</f>
        <v>10.593</v>
      </c>
    </row>
    <row r="155" spans="2:18" x14ac:dyDescent="0.4">
      <c r="B155" s="93"/>
      <c r="C155" s="62" t="s">
        <v>54</v>
      </c>
      <c r="D155" s="63">
        <v>0.05</v>
      </c>
      <c r="E155" s="63">
        <f>E152-E154</f>
        <v>5.5999999999999162E-2</v>
      </c>
      <c r="F155" s="63">
        <f>F152-F154</f>
        <v>4.1000000000000369E-2</v>
      </c>
      <c r="G155" s="63">
        <f>G152-G154</f>
        <v>2.2000000000000242E-2</v>
      </c>
      <c r="H155" s="63">
        <f>H152-H154</f>
        <v>2.9000000000001691E-2</v>
      </c>
      <c r="I155" s="63">
        <f>I152-I154</f>
        <v>4.8999999999999488E-2</v>
      </c>
      <c r="J155" s="63">
        <f>J152-J154</f>
        <v>6.6000000000000725E-2</v>
      </c>
      <c r="K155" s="64"/>
      <c r="L155" s="63">
        <v>0.05</v>
      </c>
    </row>
    <row r="158" spans="2:18" x14ac:dyDescent="0.4">
      <c r="B158" s="91" t="s">
        <v>0</v>
      </c>
      <c r="C158" s="60" t="s">
        <v>51</v>
      </c>
      <c r="D158" s="61">
        <v>10.64</v>
      </c>
      <c r="E158" s="59"/>
      <c r="F158" s="61">
        <v>10.663</v>
      </c>
      <c r="G158" s="61">
        <v>10.669</v>
      </c>
      <c r="H158" s="59">
        <v>10.608000000000001</v>
      </c>
      <c r="I158" s="59"/>
      <c r="J158" s="59"/>
      <c r="K158" s="59"/>
      <c r="L158" s="61">
        <v>10.56</v>
      </c>
      <c r="N158" s="97">
        <v>3.26</v>
      </c>
      <c r="O158" s="97">
        <v>3.09</v>
      </c>
      <c r="Q158" s="32">
        <v>8.9999999999999993E-3</v>
      </c>
      <c r="R158" s="1">
        <v>3.5000000000000003E-2</v>
      </c>
    </row>
    <row r="159" spans="2:18" x14ac:dyDescent="0.4">
      <c r="B159" s="92"/>
      <c r="C159" s="65" t="s">
        <v>52</v>
      </c>
      <c r="D159" s="66">
        <v>10.64</v>
      </c>
      <c r="E159" s="67"/>
      <c r="F159" s="66">
        <v>10.663</v>
      </c>
      <c r="G159" s="66">
        <v>10.669</v>
      </c>
      <c r="H159" s="67">
        <v>10.608000000000001</v>
      </c>
      <c r="I159" s="67"/>
      <c r="J159" s="67"/>
      <c r="K159" s="67"/>
      <c r="L159" s="66">
        <v>10.56</v>
      </c>
    </row>
    <row r="160" spans="2:18" x14ac:dyDescent="0.4">
      <c r="B160" s="92"/>
      <c r="C160" s="68" t="s">
        <v>53</v>
      </c>
      <c r="D160" s="69">
        <f>D159-0.05</f>
        <v>10.59</v>
      </c>
      <c r="E160" s="70"/>
      <c r="F160" s="69">
        <f>F159-0.05</f>
        <v>10.613</v>
      </c>
      <c r="G160" s="69">
        <f>G159-0.05</f>
        <v>10.619</v>
      </c>
      <c r="H160" s="69">
        <f>H159-0.05</f>
        <v>10.558</v>
      </c>
      <c r="I160" s="69"/>
      <c r="J160" s="69"/>
      <c r="K160" s="70"/>
      <c r="L160" s="69">
        <f>L159-0.05</f>
        <v>10.51</v>
      </c>
    </row>
    <row r="161" spans="2:18" x14ac:dyDescent="0.4">
      <c r="B161" s="93"/>
      <c r="C161" s="62" t="s">
        <v>54</v>
      </c>
      <c r="D161" s="63">
        <v>0.05</v>
      </c>
      <c r="E161" s="64"/>
      <c r="F161" s="63">
        <f>F158-F160</f>
        <v>5.0000000000000711E-2</v>
      </c>
      <c r="G161" s="63">
        <f>G158-G160</f>
        <v>5.0000000000000711E-2</v>
      </c>
      <c r="H161" s="63">
        <f>H158-H160</f>
        <v>5.0000000000000711E-2</v>
      </c>
      <c r="I161" s="63"/>
      <c r="J161" s="63"/>
      <c r="K161" s="64"/>
      <c r="L161" s="63">
        <v>0.05</v>
      </c>
    </row>
    <row r="162" spans="2:18" ht="7.5" customHeight="1" x14ac:dyDescent="0.4">
      <c r="B162" s="71"/>
      <c r="C162" s="73"/>
      <c r="D162" s="74"/>
      <c r="E162" s="75"/>
      <c r="F162" s="74"/>
      <c r="G162" s="74"/>
      <c r="H162" s="74"/>
      <c r="I162" s="74"/>
      <c r="J162" s="75"/>
      <c r="K162" s="75"/>
      <c r="L162" s="72"/>
      <c r="N162" s="98"/>
      <c r="O162" s="98"/>
      <c r="Q162" s="32"/>
      <c r="R162" s="32"/>
    </row>
    <row r="163" spans="2:18" x14ac:dyDescent="0.4">
      <c r="B163" s="91" t="s">
        <v>1</v>
      </c>
      <c r="C163" s="60" t="s">
        <v>51</v>
      </c>
      <c r="D163" s="61">
        <v>10.675000000000001</v>
      </c>
      <c r="E163" s="59"/>
      <c r="F163" s="61">
        <v>10.675000000000001</v>
      </c>
      <c r="G163" s="61">
        <v>10.677</v>
      </c>
      <c r="H163" s="59">
        <v>10.645</v>
      </c>
      <c r="I163" s="59"/>
      <c r="J163" s="59"/>
      <c r="K163" s="59"/>
      <c r="L163" s="59">
        <v>10.587999999999999</v>
      </c>
      <c r="N163" s="97">
        <v>3.1</v>
      </c>
      <c r="O163" s="97">
        <v>3.2</v>
      </c>
      <c r="Q163" s="32">
        <v>5.0000000000000001E-3</v>
      </c>
      <c r="R163" s="1">
        <v>3.2000000000000001E-2</v>
      </c>
    </row>
    <row r="164" spans="2:18" x14ac:dyDescent="0.4">
      <c r="B164" s="92"/>
      <c r="C164" s="65" t="s">
        <v>52</v>
      </c>
      <c r="D164" s="66">
        <v>10.675000000000001</v>
      </c>
      <c r="E164" s="67"/>
      <c r="F164" s="66">
        <f>G164-($F$1*Q163)</f>
        <v>10.681000000000001</v>
      </c>
      <c r="G164" s="66">
        <v>10.691000000000001</v>
      </c>
      <c r="H164" s="67">
        <f>G164-($H$1*R163)</f>
        <v>10.627000000000001</v>
      </c>
      <c r="I164" s="67"/>
      <c r="J164" s="67"/>
      <c r="K164" s="67"/>
      <c r="L164" s="67">
        <v>10.587999999999999</v>
      </c>
    </row>
    <row r="165" spans="2:18" x14ac:dyDescent="0.4">
      <c r="B165" s="92"/>
      <c r="C165" s="68" t="s">
        <v>53</v>
      </c>
      <c r="D165" s="69">
        <f>D164-0.05</f>
        <v>10.625</v>
      </c>
      <c r="E165" s="70"/>
      <c r="F165" s="69">
        <f>F164-0.05</f>
        <v>10.631</v>
      </c>
      <c r="G165" s="69">
        <f>G164-0.05</f>
        <v>10.641</v>
      </c>
      <c r="H165" s="69">
        <f>H164-0.05</f>
        <v>10.577</v>
      </c>
      <c r="I165" s="69"/>
      <c r="J165" s="69"/>
      <c r="K165" s="70"/>
      <c r="L165" s="69">
        <f>L164-0.05</f>
        <v>10.537999999999998</v>
      </c>
    </row>
    <row r="166" spans="2:18" x14ac:dyDescent="0.4">
      <c r="B166" s="93"/>
      <c r="C166" s="62" t="s">
        <v>54</v>
      </c>
      <c r="D166" s="63">
        <v>0.05</v>
      </c>
      <c r="E166" s="64"/>
      <c r="F166" s="63">
        <f>F163-F165</f>
        <v>4.4000000000000483E-2</v>
      </c>
      <c r="G166" s="63">
        <f>G163-G165</f>
        <v>3.5999999999999588E-2</v>
      </c>
      <c r="H166" s="63">
        <f>H163-H165</f>
        <v>6.7999999999999616E-2</v>
      </c>
      <c r="I166" s="63"/>
      <c r="J166" s="63"/>
      <c r="K166" s="64"/>
      <c r="L166" s="63">
        <v>0.05</v>
      </c>
    </row>
    <row r="167" spans="2:18" ht="7.5" customHeight="1" x14ac:dyDescent="0.4">
      <c r="B167" s="71"/>
      <c r="C167" s="73"/>
      <c r="D167" s="74"/>
      <c r="E167" s="75"/>
      <c r="F167" s="74"/>
      <c r="G167" s="74"/>
      <c r="H167" s="74"/>
      <c r="I167" s="74"/>
      <c r="J167" s="75"/>
      <c r="K167" s="75"/>
      <c r="L167" s="72"/>
      <c r="N167" s="98"/>
      <c r="O167" s="98"/>
      <c r="Q167" s="32"/>
      <c r="R167" s="32"/>
    </row>
    <row r="168" spans="2:18" x14ac:dyDescent="0.4">
      <c r="B168" s="91" t="s">
        <v>41</v>
      </c>
      <c r="C168" s="60" t="s">
        <v>51</v>
      </c>
      <c r="D168" s="61">
        <v>10.688000000000001</v>
      </c>
      <c r="E168" s="59"/>
      <c r="F168" s="61">
        <v>10.69</v>
      </c>
      <c r="G168" s="61">
        <v>10.702</v>
      </c>
      <c r="H168" s="59">
        <v>10.645</v>
      </c>
      <c r="I168" s="59"/>
      <c r="J168" s="59"/>
      <c r="K168" s="59"/>
      <c r="L168" s="59">
        <v>10.603</v>
      </c>
      <c r="N168" s="97">
        <v>3.02</v>
      </c>
      <c r="O168" s="97">
        <v>3.13</v>
      </c>
      <c r="Q168" s="32">
        <v>5.0000000000000001E-3</v>
      </c>
      <c r="R168" s="1">
        <v>3.2000000000000001E-2</v>
      </c>
    </row>
    <row r="169" spans="2:18" x14ac:dyDescent="0.4">
      <c r="B169" s="92"/>
      <c r="C169" s="65" t="s">
        <v>52</v>
      </c>
      <c r="D169" s="66">
        <v>10.721</v>
      </c>
      <c r="E169" s="67"/>
      <c r="F169" s="66">
        <f>G169-($F$1*Q168)</f>
        <v>10.692</v>
      </c>
      <c r="G169" s="66">
        <v>10.702</v>
      </c>
      <c r="H169" s="67">
        <f>G169-($H$1*R168)</f>
        <v>10.638</v>
      </c>
      <c r="I169" s="67"/>
      <c r="J169" s="67"/>
      <c r="K169" s="67"/>
      <c r="L169" s="67">
        <v>10.603</v>
      </c>
    </row>
    <row r="170" spans="2:18" x14ac:dyDescent="0.4">
      <c r="B170" s="92"/>
      <c r="C170" s="68" t="s">
        <v>53</v>
      </c>
      <c r="D170" s="69">
        <f>D169-0.05</f>
        <v>10.670999999999999</v>
      </c>
      <c r="E170" s="70"/>
      <c r="F170" s="69">
        <f>F169-0.05</f>
        <v>10.641999999999999</v>
      </c>
      <c r="G170" s="69">
        <f>G169-0.05</f>
        <v>10.651999999999999</v>
      </c>
      <c r="H170" s="69">
        <f>H169-0.05</f>
        <v>10.587999999999999</v>
      </c>
      <c r="I170" s="69"/>
      <c r="J170" s="69"/>
      <c r="K170" s="70"/>
      <c r="L170" s="69">
        <f>L169-0.05</f>
        <v>10.552999999999999</v>
      </c>
    </row>
    <row r="171" spans="2:18" x14ac:dyDescent="0.4">
      <c r="B171" s="93"/>
      <c r="C171" s="62" t="s">
        <v>54</v>
      </c>
      <c r="D171" s="63">
        <f>D168-D170</f>
        <v>1.7000000000001236E-2</v>
      </c>
      <c r="E171" s="64"/>
      <c r="F171" s="63">
        <f>F168-F170</f>
        <v>4.8000000000000043E-2</v>
      </c>
      <c r="G171" s="63">
        <f>G168-G170</f>
        <v>5.0000000000000711E-2</v>
      </c>
      <c r="H171" s="63">
        <f>H168-H170</f>
        <v>5.7000000000000384E-2</v>
      </c>
      <c r="I171" s="63"/>
      <c r="J171" s="63"/>
      <c r="K171" s="64"/>
      <c r="L171" s="63">
        <v>0.05</v>
      </c>
    </row>
    <row r="172" spans="2:18" ht="7.5" customHeight="1" x14ac:dyDescent="0.4">
      <c r="B172" s="71"/>
      <c r="C172" s="73"/>
      <c r="D172" s="74"/>
      <c r="E172" s="75"/>
      <c r="F172" s="74"/>
      <c r="G172" s="74"/>
      <c r="H172" s="74"/>
      <c r="I172" s="74"/>
      <c r="J172" s="75"/>
      <c r="K172" s="75"/>
      <c r="L172" s="72"/>
      <c r="N172" s="98"/>
      <c r="O172" s="98"/>
      <c r="Q172" s="32"/>
      <c r="R172" s="32"/>
    </row>
    <row r="173" spans="2:18" x14ac:dyDescent="0.4">
      <c r="B173" s="91" t="s">
        <v>2</v>
      </c>
      <c r="C173" s="60" t="s">
        <v>51</v>
      </c>
      <c r="D173" s="61">
        <v>10.609</v>
      </c>
      <c r="E173" s="59"/>
      <c r="F173" s="61">
        <v>10.635999999999999</v>
      </c>
      <c r="G173" s="61">
        <v>10.669</v>
      </c>
      <c r="H173" s="59">
        <v>10.651999999999999</v>
      </c>
      <c r="I173" s="59"/>
      <c r="J173" s="59"/>
      <c r="K173" s="59"/>
      <c r="L173" s="59">
        <v>10.605</v>
      </c>
      <c r="N173" s="97">
        <v>3.23</v>
      </c>
      <c r="O173" s="97">
        <v>3.15</v>
      </c>
      <c r="Q173" s="32">
        <v>2.1000000000000001E-2</v>
      </c>
      <c r="R173" s="1">
        <v>2.3E-2</v>
      </c>
    </row>
    <row r="174" spans="2:18" x14ac:dyDescent="0.4">
      <c r="B174" s="92"/>
      <c r="C174" s="65" t="s">
        <v>52</v>
      </c>
      <c r="D174" s="66">
        <v>10.609</v>
      </c>
      <c r="E174" s="67"/>
      <c r="F174" s="66">
        <f>G174-($F$1*Q173)</f>
        <v>10.636000000000001</v>
      </c>
      <c r="G174" s="66">
        <v>10.678000000000001</v>
      </c>
      <c r="H174" s="67">
        <f>G174-($H$1*R173)</f>
        <v>10.632000000000001</v>
      </c>
      <c r="I174" s="67"/>
      <c r="J174" s="67"/>
      <c r="K174" s="67"/>
      <c r="L174" s="67">
        <v>10.605</v>
      </c>
    </row>
    <row r="175" spans="2:18" x14ac:dyDescent="0.4">
      <c r="B175" s="92"/>
      <c r="C175" s="68" t="s">
        <v>53</v>
      </c>
      <c r="D175" s="69">
        <f>D174-0.05</f>
        <v>10.558999999999999</v>
      </c>
      <c r="E175" s="70"/>
      <c r="F175" s="69">
        <f>F174-0.05</f>
        <v>10.586</v>
      </c>
      <c r="G175" s="69">
        <f>G174-0.05</f>
        <v>10.628</v>
      </c>
      <c r="H175" s="69">
        <f>H174-0.05</f>
        <v>10.582000000000001</v>
      </c>
      <c r="I175" s="69"/>
      <c r="J175" s="69"/>
      <c r="K175" s="70"/>
      <c r="L175" s="69">
        <f>L174-0.05</f>
        <v>10.555</v>
      </c>
    </row>
    <row r="176" spans="2:18" x14ac:dyDescent="0.4">
      <c r="B176" s="93"/>
      <c r="C176" s="62" t="s">
        <v>54</v>
      </c>
      <c r="D176" s="63">
        <v>0.05</v>
      </c>
      <c r="E176" s="64"/>
      <c r="F176" s="63">
        <f>F173-F175</f>
        <v>4.9999999999998934E-2</v>
      </c>
      <c r="G176" s="63">
        <f>G173-G175</f>
        <v>4.1000000000000369E-2</v>
      </c>
      <c r="H176" s="63">
        <f>H173-H175</f>
        <v>6.9999999999998508E-2</v>
      </c>
      <c r="I176" s="63"/>
      <c r="J176" s="63"/>
      <c r="K176" s="64"/>
      <c r="L176" s="63">
        <v>0.05</v>
      </c>
    </row>
    <row r="177" spans="2:18" ht="7.5" customHeight="1" x14ac:dyDescent="0.4">
      <c r="B177" s="71"/>
      <c r="C177" s="73"/>
      <c r="D177" s="74"/>
      <c r="E177" s="75"/>
      <c r="F177" s="74"/>
      <c r="G177" s="74"/>
      <c r="H177" s="74"/>
      <c r="I177" s="74"/>
      <c r="J177" s="75"/>
      <c r="K177" s="75"/>
      <c r="L177" s="72"/>
      <c r="N177" s="98"/>
      <c r="O177" s="98"/>
      <c r="Q177" s="32"/>
      <c r="R177" s="32"/>
    </row>
    <row r="178" spans="2:18" x14ac:dyDescent="0.4">
      <c r="B178" s="91" t="s">
        <v>42</v>
      </c>
      <c r="C178" s="60" t="s">
        <v>51</v>
      </c>
      <c r="D178" s="61">
        <v>10.553000000000001</v>
      </c>
      <c r="E178" s="59"/>
      <c r="F178" s="61">
        <v>10.592000000000001</v>
      </c>
      <c r="G178" s="61">
        <v>10.643000000000001</v>
      </c>
      <c r="H178" s="59">
        <v>10.615</v>
      </c>
      <c r="I178" s="59"/>
      <c r="J178" s="59"/>
      <c r="K178" s="59"/>
      <c r="L178" s="59">
        <v>10.569000000000001</v>
      </c>
      <c r="N178" s="97">
        <v>3.15</v>
      </c>
      <c r="O178" s="97">
        <v>3.1</v>
      </c>
      <c r="Q178" s="32">
        <v>2.9000000000000001E-2</v>
      </c>
      <c r="R178" s="1">
        <v>2.4E-2</v>
      </c>
    </row>
    <row r="179" spans="2:18" x14ac:dyDescent="0.4">
      <c r="B179" s="92"/>
      <c r="C179" s="65" t="s">
        <v>52</v>
      </c>
      <c r="D179" s="66">
        <v>10.553000000000001</v>
      </c>
      <c r="E179" s="67"/>
      <c r="F179" s="66">
        <v>10.592000000000001</v>
      </c>
      <c r="G179" s="66">
        <v>10.643000000000001</v>
      </c>
      <c r="H179" s="67">
        <v>10.615</v>
      </c>
      <c r="I179" s="67"/>
      <c r="J179" s="67"/>
      <c r="K179" s="67"/>
      <c r="L179" s="67">
        <v>10.569000000000001</v>
      </c>
    </row>
    <row r="180" spans="2:18" x14ac:dyDescent="0.4">
      <c r="B180" s="92"/>
      <c r="C180" s="68" t="s">
        <v>53</v>
      </c>
      <c r="D180" s="69">
        <f>D179-0.05</f>
        <v>10.503</v>
      </c>
      <c r="E180" s="70"/>
      <c r="F180" s="69">
        <f>F179-0.05</f>
        <v>10.542</v>
      </c>
      <c r="G180" s="69">
        <f>G179-0.05</f>
        <v>10.593</v>
      </c>
      <c r="H180" s="69">
        <f>H179-0.05</f>
        <v>10.565</v>
      </c>
      <c r="I180" s="69"/>
      <c r="J180" s="69"/>
      <c r="K180" s="70"/>
      <c r="L180" s="69">
        <f>L179-0.05</f>
        <v>10.519</v>
      </c>
    </row>
    <row r="181" spans="2:18" x14ac:dyDescent="0.4">
      <c r="B181" s="93"/>
      <c r="C181" s="62" t="s">
        <v>54</v>
      </c>
      <c r="D181" s="63">
        <v>0.05</v>
      </c>
      <c r="E181" s="64"/>
      <c r="F181" s="63">
        <f>F178-F180</f>
        <v>5.0000000000000711E-2</v>
      </c>
      <c r="G181" s="63">
        <f>G178-G180</f>
        <v>5.0000000000000711E-2</v>
      </c>
      <c r="H181" s="63">
        <f>H178-H180</f>
        <v>5.0000000000000711E-2</v>
      </c>
      <c r="I181" s="63"/>
      <c r="J181" s="63"/>
      <c r="K181" s="64"/>
      <c r="L181" s="63">
        <v>0.05</v>
      </c>
    </row>
  </sheetData>
  <mergeCells count="36">
    <mergeCell ref="B163:B166"/>
    <mergeCell ref="B168:B171"/>
    <mergeCell ref="B173:B176"/>
    <mergeCell ref="B178:B181"/>
    <mergeCell ref="B2:B5"/>
    <mergeCell ref="B7:B10"/>
    <mergeCell ref="B12:B15"/>
    <mergeCell ref="B17:B20"/>
    <mergeCell ref="B158:B161"/>
    <mergeCell ref="B22:B25"/>
    <mergeCell ref="B27:B30"/>
    <mergeCell ref="B32:B35"/>
    <mergeCell ref="B37:B40"/>
    <mergeCell ref="B42:B45"/>
    <mergeCell ref="B47:B50"/>
    <mergeCell ref="B52:B55"/>
    <mergeCell ref="B57:B60"/>
    <mergeCell ref="B62:B65"/>
    <mergeCell ref="B67:B70"/>
    <mergeCell ref="B72:B75"/>
    <mergeCell ref="B77:B80"/>
    <mergeCell ref="B82:B85"/>
    <mergeCell ref="B87:B90"/>
    <mergeCell ref="B92:B95"/>
    <mergeCell ref="B97:B100"/>
    <mergeCell ref="B102:B105"/>
    <mergeCell ref="B107:B110"/>
    <mergeCell ref="B112:B115"/>
    <mergeCell ref="B117:B120"/>
    <mergeCell ref="B147:B150"/>
    <mergeCell ref="B152:B155"/>
    <mergeCell ref="B122:B125"/>
    <mergeCell ref="B127:B130"/>
    <mergeCell ref="B132:B135"/>
    <mergeCell ref="B137:B140"/>
    <mergeCell ref="B142:B14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縦断 (現況)</vt:lpstr>
      <vt:lpstr>縦断 (計画)</vt:lpstr>
      <vt:lpstr>横断(現況)</vt:lpstr>
      <vt:lpstr>横断(計画)</vt:lpstr>
      <vt:lpstr>計画まとめ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三雄建設 有限会社</dc:creator>
  <cp:lastModifiedBy>三雄建設 有限会社</cp:lastModifiedBy>
  <cp:lastPrinted>2025-01-06T13:25:27Z</cp:lastPrinted>
  <dcterms:created xsi:type="dcterms:W3CDTF">2024-12-17T09:07:52Z</dcterms:created>
  <dcterms:modified xsi:type="dcterms:W3CDTF">2026-01-14T09:49:40Z</dcterms:modified>
</cp:coreProperties>
</file>