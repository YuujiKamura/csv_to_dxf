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〇市道 南千反畑町第１号線舗装補修工事\１０測量と設計照査\"/>
    </mc:Choice>
  </mc:AlternateContent>
  <xr:revisionPtr revIDLastSave="0" documentId="13_ncr:1_{2FF045BB-1479-4EEB-9B89-F11A5012485F}" xr6:coauthVersionLast="47" xr6:coauthVersionMax="47" xr10:uidLastSave="{00000000-0000-0000-0000-000000000000}"/>
  <bookViews>
    <workbookView xWindow="-120" yWindow="-120" windowWidth="29040" windowHeight="15720" activeTab="3" xr2:uid="{9B8B15DF-CC4A-4363-BE7A-E60876B7E9DD}"/>
  </bookViews>
  <sheets>
    <sheet name="縦断 (現況)" sheetId="9" r:id="rId1"/>
    <sheet name="縦断 (計画)" sheetId="10" r:id="rId2"/>
    <sheet name="横断(現況)" sheetId="8" r:id="rId3"/>
    <sheet name="横断(計画)" sheetId="7" r:id="rId4"/>
    <sheet name="切削計算書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10" l="1"/>
  <c r="F25" i="10"/>
  <c r="F26" i="10"/>
  <c r="F27" i="10"/>
  <c r="F28" i="10"/>
  <c r="F29" i="10"/>
  <c r="F30" i="10"/>
  <c r="F31" i="10"/>
  <c r="F32" i="10"/>
  <c r="F33" i="10"/>
  <c r="F22" i="10"/>
  <c r="F23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5" i="10"/>
  <c r="G6" i="10" l="1"/>
  <c r="G7" i="10"/>
  <c r="G8" i="10"/>
  <c r="G9" i="10"/>
  <c r="G10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5" i="10"/>
  <c r="G34" i="10"/>
  <c r="G19" i="10"/>
  <c r="G11" i="10"/>
  <c r="L8" i="10"/>
  <c r="L7" i="10"/>
  <c r="L6" i="10"/>
  <c r="L5" i="10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J7" i="9"/>
  <c r="E7" i="9"/>
  <c r="J6" i="9"/>
  <c r="E6" i="9"/>
  <c r="J5" i="9"/>
  <c r="E5" i="9"/>
  <c r="J4" i="9"/>
  <c r="E4" i="9"/>
  <c r="M81" i="8" l="1"/>
  <c r="I81" i="8"/>
  <c r="F81" i="8"/>
  <c r="C81" i="8"/>
  <c r="M79" i="8"/>
  <c r="I79" i="8"/>
  <c r="F79" i="8"/>
  <c r="C79" i="8"/>
  <c r="M77" i="8"/>
  <c r="I77" i="8"/>
  <c r="F77" i="8"/>
  <c r="C77" i="8"/>
  <c r="M75" i="8"/>
  <c r="I75" i="8"/>
  <c r="F75" i="8"/>
  <c r="C75" i="8"/>
  <c r="M73" i="8"/>
  <c r="I73" i="8"/>
  <c r="F73" i="8"/>
  <c r="C73" i="8"/>
  <c r="L66" i="8"/>
  <c r="K66" i="8"/>
  <c r="J66" i="8"/>
  <c r="I66" i="8"/>
  <c r="F66" i="8"/>
  <c r="K64" i="8"/>
  <c r="J64" i="8"/>
  <c r="I64" i="8"/>
  <c r="F64" i="8"/>
  <c r="M62" i="8"/>
  <c r="I62" i="8"/>
  <c r="F62" i="8"/>
  <c r="C62" i="8"/>
  <c r="M60" i="8"/>
  <c r="I60" i="8"/>
  <c r="F60" i="8"/>
  <c r="C60" i="8"/>
  <c r="M58" i="8"/>
  <c r="I58" i="8"/>
  <c r="F58" i="8"/>
  <c r="C58" i="8"/>
  <c r="M56" i="8"/>
  <c r="I56" i="8"/>
  <c r="F56" i="8"/>
  <c r="C56" i="8"/>
  <c r="M54" i="8"/>
  <c r="I54" i="8"/>
  <c r="F54" i="8"/>
  <c r="C54" i="8"/>
  <c r="M52" i="8"/>
  <c r="I52" i="8"/>
  <c r="F52" i="8"/>
  <c r="C52" i="8"/>
  <c r="M50" i="8"/>
  <c r="I50" i="8"/>
  <c r="F50" i="8"/>
  <c r="C50" i="8"/>
  <c r="M48" i="8"/>
  <c r="I48" i="8"/>
  <c r="F48" i="8"/>
  <c r="C48" i="8"/>
  <c r="M46" i="8"/>
  <c r="I46" i="8"/>
  <c r="F46" i="8"/>
  <c r="C46" i="8"/>
  <c r="M44" i="8"/>
  <c r="I44" i="8"/>
  <c r="F44" i="8"/>
  <c r="C44" i="8"/>
  <c r="M42" i="8"/>
  <c r="I42" i="8"/>
  <c r="F42" i="8"/>
  <c r="C42" i="8"/>
  <c r="M40" i="8"/>
  <c r="I40" i="8"/>
  <c r="F40" i="8"/>
  <c r="C40" i="8"/>
  <c r="M38" i="8"/>
  <c r="I38" i="8"/>
  <c r="F38" i="8"/>
  <c r="C38" i="8"/>
  <c r="M36" i="8"/>
  <c r="I36" i="8"/>
  <c r="F36" i="8"/>
  <c r="C36" i="8"/>
  <c r="M34" i="8"/>
  <c r="I34" i="8"/>
  <c r="F34" i="8"/>
  <c r="C34" i="8"/>
  <c r="M32" i="8"/>
  <c r="I32" i="8"/>
  <c r="F32" i="8"/>
  <c r="C32" i="8"/>
  <c r="M30" i="8"/>
  <c r="I30" i="8"/>
  <c r="F30" i="8"/>
  <c r="C30" i="8"/>
  <c r="M28" i="8"/>
  <c r="I28" i="8"/>
  <c r="F28" i="8"/>
  <c r="C28" i="8"/>
  <c r="M26" i="8"/>
  <c r="I26" i="8"/>
  <c r="F26" i="8"/>
  <c r="C26" i="8"/>
  <c r="M24" i="8"/>
  <c r="I24" i="8"/>
  <c r="F24" i="8"/>
  <c r="C24" i="8"/>
  <c r="M22" i="8"/>
  <c r="I22" i="8"/>
  <c r="F22" i="8"/>
  <c r="C22" i="8"/>
  <c r="M20" i="8"/>
  <c r="I20" i="8"/>
  <c r="F20" i="8"/>
  <c r="C20" i="8"/>
  <c r="M18" i="8"/>
  <c r="J18" i="8"/>
  <c r="I18" i="8"/>
  <c r="F18" i="8"/>
  <c r="C18" i="8"/>
  <c r="M16" i="8"/>
  <c r="J16" i="8"/>
  <c r="I16" i="8"/>
  <c r="F16" i="8"/>
  <c r="C16" i="8"/>
  <c r="M14" i="8"/>
  <c r="J14" i="8"/>
  <c r="I14" i="8"/>
  <c r="F14" i="8"/>
  <c r="C14" i="8"/>
  <c r="M12" i="8"/>
  <c r="J12" i="8"/>
  <c r="I12" i="8"/>
  <c r="F12" i="8"/>
  <c r="C12" i="8"/>
  <c r="M10" i="8"/>
  <c r="J10" i="8"/>
  <c r="I10" i="8"/>
  <c r="F10" i="8"/>
  <c r="C10" i="8"/>
  <c r="M8" i="8"/>
  <c r="J8" i="8"/>
  <c r="I8" i="8"/>
  <c r="F8" i="8"/>
  <c r="C8" i="8"/>
  <c r="M6" i="8"/>
  <c r="J6" i="8"/>
  <c r="I6" i="8"/>
  <c r="F6" i="8"/>
  <c r="C6" i="8"/>
  <c r="M81" i="7"/>
  <c r="I81" i="7"/>
  <c r="F81" i="7"/>
  <c r="C81" i="7"/>
  <c r="M79" i="7"/>
  <c r="I79" i="7"/>
  <c r="F79" i="7"/>
  <c r="C79" i="7"/>
  <c r="M77" i="7"/>
  <c r="I77" i="7"/>
  <c r="F77" i="7"/>
  <c r="C77" i="7"/>
  <c r="M75" i="7"/>
  <c r="I75" i="7"/>
  <c r="F75" i="7"/>
  <c r="C75" i="7"/>
  <c r="M73" i="7"/>
  <c r="I73" i="7"/>
  <c r="F73" i="7"/>
  <c r="C73" i="7"/>
  <c r="L66" i="7"/>
  <c r="K66" i="7"/>
  <c r="J66" i="7"/>
  <c r="I66" i="7"/>
  <c r="F66" i="7"/>
  <c r="K64" i="7"/>
  <c r="J64" i="7"/>
  <c r="I64" i="7"/>
  <c r="F64" i="7"/>
  <c r="M62" i="7"/>
  <c r="I62" i="7"/>
  <c r="F62" i="7"/>
  <c r="C62" i="7"/>
  <c r="M60" i="7"/>
  <c r="I60" i="7"/>
  <c r="F60" i="7"/>
  <c r="C60" i="7"/>
  <c r="M58" i="7"/>
  <c r="I58" i="7"/>
  <c r="F58" i="7"/>
  <c r="C58" i="7"/>
  <c r="M56" i="7"/>
  <c r="I56" i="7"/>
  <c r="F56" i="7"/>
  <c r="C56" i="7"/>
  <c r="M54" i="7"/>
  <c r="I54" i="7"/>
  <c r="F54" i="7"/>
  <c r="C54" i="7"/>
  <c r="M52" i="7"/>
  <c r="I52" i="7"/>
  <c r="F52" i="7"/>
  <c r="C52" i="7"/>
  <c r="M50" i="7"/>
  <c r="I50" i="7"/>
  <c r="F50" i="7"/>
  <c r="C50" i="7"/>
  <c r="M48" i="7"/>
  <c r="I48" i="7"/>
  <c r="F48" i="7"/>
  <c r="C48" i="7"/>
  <c r="M46" i="7"/>
  <c r="I46" i="7"/>
  <c r="F46" i="7"/>
  <c r="C46" i="7"/>
  <c r="M44" i="7"/>
  <c r="I44" i="7"/>
  <c r="F44" i="7"/>
  <c r="C44" i="7"/>
  <c r="M42" i="7"/>
  <c r="I42" i="7"/>
  <c r="F42" i="7"/>
  <c r="C42" i="7"/>
  <c r="M40" i="7"/>
  <c r="I40" i="7"/>
  <c r="F40" i="7"/>
  <c r="C40" i="7"/>
  <c r="M38" i="7"/>
  <c r="I38" i="7"/>
  <c r="F38" i="7"/>
  <c r="C38" i="7"/>
  <c r="M36" i="7"/>
  <c r="I36" i="7"/>
  <c r="F36" i="7"/>
  <c r="C36" i="7"/>
  <c r="M34" i="7"/>
  <c r="I34" i="7"/>
  <c r="F34" i="7"/>
  <c r="C34" i="7"/>
  <c r="M32" i="7"/>
  <c r="I32" i="7"/>
  <c r="F32" i="7"/>
  <c r="C32" i="7"/>
  <c r="M30" i="7"/>
  <c r="I30" i="7"/>
  <c r="F30" i="7"/>
  <c r="C30" i="7"/>
  <c r="M28" i="7"/>
  <c r="I28" i="7"/>
  <c r="F28" i="7"/>
  <c r="C28" i="7"/>
  <c r="M26" i="7"/>
  <c r="I26" i="7"/>
  <c r="F26" i="7"/>
  <c r="C26" i="7"/>
  <c r="M24" i="7"/>
  <c r="I24" i="7"/>
  <c r="F24" i="7"/>
  <c r="C24" i="7"/>
  <c r="M22" i="7"/>
  <c r="I22" i="7"/>
  <c r="F22" i="7"/>
  <c r="C22" i="7"/>
  <c r="M20" i="7"/>
  <c r="I20" i="7"/>
  <c r="F20" i="7"/>
  <c r="C20" i="7"/>
  <c r="M18" i="7"/>
  <c r="J18" i="7"/>
  <c r="I18" i="7"/>
  <c r="F18" i="7"/>
  <c r="C18" i="7"/>
  <c r="M16" i="7"/>
  <c r="J16" i="7"/>
  <c r="I16" i="7"/>
  <c r="F16" i="7"/>
  <c r="C16" i="7"/>
  <c r="M14" i="7"/>
  <c r="J14" i="7"/>
  <c r="I14" i="7"/>
  <c r="F14" i="7"/>
  <c r="C14" i="7"/>
  <c r="M12" i="7"/>
  <c r="J12" i="7"/>
  <c r="I12" i="7"/>
  <c r="F12" i="7"/>
  <c r="C12" i="7"/>
  <c r="M10" i="7"/>
  <c r="J10" i="7"/>
  <c r="I10" i="7"/>
  <c r="F10" i="7"/>
  <c r="C10" i="7"/>
  <c r="M8" i="7"/>
  <c r="J8" i="7"/>
  <c r="I8" i="7"/>
  <c r="F8" i="7"/>
  <c r="C8" i="7"/>
  <c r="M6" i="7"/>
  <c r="J6" i="7"/>
  <c r="I6" i="7"/>
  <c r="F6" i="7"/>
  <c r="C6" i="7"/>
</calcChain>
</file>

<file path=xl/sharedStrings.xml><?xml version="1.0" encoding="utf-8"?>
<sst xmlns="http://schemas.openxmlformats.org/spreadsheetml/2006/main" count="228" uniqueCount="51">
  <si>
    <t>No.0</t>
    <phoneticPr fontId="1"/>
  </si>
  <si>
    <t>No.0+10</t>
    <phoneticPr fontId="1"/>
  </si>
  <si>
    <t>No.1</t>
    <phoneticPr fontId="1"/>
  </si>
  <si>
    <t>No.1+10</t>
    <phoneticPr fontId="1"/>
  </si>
  <si>
    <t>地盤高</t>
    <rPh sb="0" eb="2">
      <t>ジバン</t>
    </rPh>
    <rPh sb="2" eb="3">
      <t>ダカ</t>
    </rPh>
    <phoneticPr fontId="1"/>
  </si>
  <si>
    <t>No.2</t>
    <phoneticPr fontId="1"/>
  </si>
  <si>
    <t>No.2+10</t>
    <phoneticPr fontId="1"/>
  </si>
  <si>
    <t>No.3</t>
    <phoneticPr fontId="1"/>
  </si>
  <si>
    <t>No.3+10</t>
    <phoneticPr fontId="1"/>
  </si>
  <si>
    <t>No.4</t>
    <phoneticPr fontId="1"/>
  </si>
  <si>
    <t>追加距離</t>
    <rPh sb="0" eb="4">
      <t>ツイカキョリ</t>
    </rPh>
    <phoneticPr fontId="1"/>
  </si>
  <si>
    <t>No.5</t>
    <phoneticPr fontId="1"/>
  </si>
  <si>
    <t>No.5+10</t>
    <phoneticPr fontId="1"/>
  </si>
  <si>
    <t>No.6</t>
    <phoneticPr fontId="1"/>
  </si>
  <si>
    <t>No.6+10</t>
    <phoneticPr fontId="1"/>
  </si>
  <si>
    <t>No.7</t>
    <phoneticPr fontId="1"/>
  </si>
  <si>
    <t>No.7+10</t>
    <phoneticPr fontId="1"/>
  </si>
  <si>
    <t>No.8</t>
    <phoneticPr fontId="1"/>
  </si>
  <si>
    <t>No.8+10</t>
    <phoneticPr fontId="1"/>
  </si>
  <si>
    <t>No.9</t>
    <phoneticPr fontId="1"/>
  </si>
  <si>
    <t>No.9+10</t>
    <phoneticPr fontId="1"/>
  </si>
  <si>
    <t>No.10</t>
    <phoneticPr fontId="1"/>
  </si>
  <si>
    <t>No.10+10</t>
    <phoneticPr fontId="1"/>
  </si>
  <si>
    <t>No.11</t>
    <phoneticPr fontId="1"/>
  </si>
  <si>
    <t>No.11+10</t>
    <phoneticPr fontId="1"/>
  </si>
  <si>
    <t>計画</t>
    <rPh sb="0" eb="2">
      <t>ケイカク</t>
    </rPh>
    <phoneticPr fontId="1"/>
  </si>
  <si>
    <t>L</t>
    <phoneticPr fontId="1"/>
  </si>
  <si>
    <t>R</t>
    <phoneticPr fontId="1"/>
  </si>
  <si>
    <t>C</t>
    <phoneticPr fontId="1"/>
  </si>
  <si>
    <t>勾配</t>
    <rPh sb="0" eb="2">
      <t>コウバイ</t>
    </rPh>
    <phoneticPr fontId="1"/>
  </si>
  <si>
    <t>現　　況</t>
    <rPh sb="0" eb="1">
      <t>ゲン</t>
    </rPh>
    <rPh sb="3" eb="4">
      <t>キョウ</t>
    </rPh>
    <phoneticPr fontId="1"/>
  </si>
  <si>
    <t>No.4+10</t>
    <phoneticPr fontId="1"/>
  </si>
  <si>
    <t>縦断勾配(現況)</t>
    <rPh sb="0" eb="2">
      <t>ジュウダン</t>
    </rPh>
    <rPh sb="2" eb="4">
      <t>コウバイ</t>
    </rPh>
    <rPh sb="5" eb="7">
      <t>ゲンキョウ</t>
    </rPh>
    <phoneticPr fontId="1"/>
  </si>
  <si>
    <t>高低差</t>
    <rPh sb="0" eb="3">
      <t>コウテイサ</t>
    </rPh>
    <phoneticPr fontId="1"/>
  </si>
  <si>
    <t>No.1+15.5マンホール</t>
    <phoneticPr fontId="1"/>
  </si>
  <si>
    <t>No.3+3.2マンホール</t>
    <phoneticPr fontId="1"/>
  </si>
  <si>
    <t>No.6+4.2</t>
    <phoneticPr fontId="1"/>
  </si>
  <si>
    <t>No.8+12.4マンホール</t>
    <phoneticPr fontId="1"/>
  </si>
  <si>
    <t>No.10+4.8マンホール</t>
    <phoneticPr fontId="1"/>
  </si>
  <si>
    <t>No.11+4.2</t>
    <phoneticPr fontId="1"/>
  </si>
  <si>
    <t>No.11+12.3</t>
    <phoneticPr fontId="1"/>
  </si>
  <si>
    <t>No.0+15.1</t>
    <phoneticPr fontId="1"/>
  </si>
  <si>
    <t>No.1+7.2</t>
    <phoneticPr fontId="1"/>
  </si>
  <si>
    <t>(高低差)　－　(延長)</t>
    <rPh sb="1" eb="4">
      <t>コウテイサ</t>
    </rPh>
    <rPh sb="9" eb="11">
      <t>エンチョウ</t>
    </rPh>
    <phoneticPr fontId="1"/>
  </si>
  <si>
    <t>センター</t>
    <phoneticPr fontId="1"/>
  </si>
  <si>
    <t>マンホール</t>
    <phoneticPr fontId="1"/>
  </si>
  <si>
    <t>0.925　－　230</t>
    <phoneticPr fontId="1"/>
  </si>
  <si>
    <t>No.6+4.2マンホール</t>
    <phoneticPr fontId="1"/>
  </si>
  <si>
    <t>No.0～No.7+10</t>
    <phoneticPr fontId="1"/>
  </si>
  <si>
    <t>No.7+10～No.11+10</t>
    <phoneticPr fontId="1"/>
  </si>
  <si>
    <t>計　　画</t>
    <rPh sb="0" eb="1">
      <t>ケイ</t>
    </rPh>
    <rPh sb="3" eb="4">
      <t>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</si>
</sst>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0.000_ "/>
    <numFmt numFmtId="178" formatCode="0.00_ "/>
    <numFmt numFmtId="186" formatCode="0.000%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5" xfId="0" applyBorder="1">
      <alignment vertical="center"/>
    </xf>
    <xf numFmtId="176" fontId="0" fillId="0" borderId="8" xfId="0" applyNumberFormat="1" applyBorder="1">
      <alignment vertical="center"/>
    </xf>
    <xf numFmtId="0" fontId="4" fillId="0" borderId="0" xfId="0" applyFont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2" fillId="2" borderId="12" xfId="0" applyNumberFormat="1" applyFont="1" applyFill="1" applyBorder="1">
      <alignment vertical="center"/>
    </xf>
    <xf numFmtId="176" fontId="2" fillId="2" borderId="13" xfId="0" applyNumberFormat="1" applyFont="1" applyFill="1" applyBorder="1">
      <alignment vertical="center"/>
    </xf>
    <xf numFmtId="0" fontId="0" fillId="3" borderId="5" xfId="0" applyFill="1" applyBorder="1">
      <alignment vertical="center"/>
    </xf>
    <xf numFmtId="176" fontId="2" fillId="0" borderId="0" xfId="0" applyNumberFormat="1" applyFont="1" applyAlignment="1">
      <alignment horizontal="center" vertical="center"/>
    </xf>
    <xf numFmtId="176" fontId="2" fillId="0" borderId="0" xfId="0" applyNumberFormat="1" applyFont="1">
      <alignment vertical="center"/>
    </xf>
    <xf numFmtId="178" fontId="0" fillId="0" borderId="0" xfId="0" applyNumberFormat="1">
      <alignment vertical="center"/>
    </xf>
    <xf numFmtId="176" fontId="3" fillId="0" borderId="0" xfId="0" applyNumberFormat="1" applyFont="1">
      <alignment vertical="center"/>
    </xf>
    <xf numFmtId="177" fontId="0" fillId="0" borderId="0" xfId="0" applyNumberFormat="1">
      <alignment vertical="center"/>
    </xf>
    <xf numFmtId="0" fontId="0" fillId="0" borderId="4" xfId="0" applyBorder="1" applyAlignment="1">
      <alignment horizontal="center" vertical="center"/>
    </xf>
    <xf numFmtId="178" fontId="0" fillId="0" borderId="6" xfId="0" applyNumberFormat="1" applyBorder="1">
      <alignment vertical="center"/>
    </xf>
    <xf numFmtId="0" fontId="0" fillId="0" borderId="7" xfId="0" applyBorder="1">
      <alignment vertical="center"/>
    </xf>
    <xf numFmtId="176" fontId="2" fillId="2" borderId="14" xfId="0" applyNumberFormat="1" applyFont="1" applyFill="1" applyBorder="1">
      <alignment vertical="center"/>
    </xf>
    <xf numFmtId="178" fontId="0" fillId="0" borderId="9" xfId="0" applyNumberFormat="1" applyBorder="1">
      <alignment vertical="center"/>
    </xf>
    <xf numFmtId="177" fontId="0" fillId="0" borderId="6" xfId="0" applyNumberFormat="1" applyBorder="1">
      <alignment vertical="center"/>
    </xf>
    <xf numFmtId="0" fontId="0" fillId="0" borderId="11" xfId="0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0" fillId="0" borderId="0" xfId="0" applyNumberFormat="1" applyFill="1">
      <alignment vertical="center"/>
    </xf>
    <xf numFmtId="0" fontId="0" fillId="0" borderId="0" xfId="0" applyFill="1">
      <alignment vertical="center"/>
    </xf>
    <xf numFmtId="0" fontId="0" fillId="3" borderId="19" xfId="0" applyFill="1" applyBorder="1" applyAlignment="1">
      <alignment horizontal="left" vertical="center"/>
    </xf>
    <xf numFmtId="0" fontId="0" fillId="3" borderId="20" xfId="0" applyFill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4" borderId="1" xfId="0" applyFont="1" applyFill="1" applyBorder="1" applyAlignment="1">
      <alignment horizontal="center" vertical="center"/>
    </xf>
    <xf numFmtId="176" fontId="7" fillId="0" borderId="13" xfId="0" applyNumberFormat="1" applyFont="1" applyBorder="1" applyAlignment="1">
      <alignment horizontal="center" vertical="center"/>
    </xf>
    <xf numFmtId="176" fontId="7" fillId="0" borderId="19" xfId="0" applyNumberFormat="1" applyFont="1" applyBorder="1" applyAlignment="1">
      <alignment horizontal="center" vertical="center"/>
    </xf>
    <xf numFmtId="176" fontId="7" fillId="0" borderId="26" xfId="0" applyNumberFormat="1" applyFont="1" applyBorder="1" applyAlignment="1">
      <alignment horizontal="center" vertical="center"/>
    </xf>
    <xf numFmtId="176" fontId="7" fillId="0" borderId="25" xfId="0" applyNumberFormat="1" applyFont="1" applyBorder="1" applyAlignment="1">
      <alignment horizontal="center" vertical="center"/>
    </xf>
    <xf numFmtId="176" fontId="7" fillId="0" borderId="27" xfId="0" applyNumberFormat="1" applyFont="1" applyBorder="1" applyAlignment="1">
      <alignment horizontal="center" vertical="center"/>
    </xf>
    <xf numFmtId="176" fontId="7" fillId="0" borderId="19" xfId="1" applyNumberFormat="1" applyFont="1" applyBorder="1" applyAlignment="1">
      <alignment horizontal="center" vertical="center"/>
    </xf>
    <xf numFmtId="176" fontId="7" fillId="0" borderId="21" xfId="0" applyNumberFormat="1" applyFont="1" applyBorder="1" applyAlignment="1">
      <alignment horizontal="center" vertical="center"/>
    </xf>
    <xf numFmtId="176" fontId="7" fillId="3" borderId="19" xfId="0" applyNumberFormat="1" applyFont="1" applyFill="1" applyBorder="1" applyAlignment="1">
      <alignment horizontal="center" vertical="center"/>
    </xf>
    <xf numFmtId="176" fontId="7" fillId="0" borderId="19" xfId="0" applyNumberFormat="1" applyFont="1" applyFill="1" applyBorder="1" applyAlignment="1">
      <alignment horizontal="center" vertical="center"/>
    </xf>
    <xf numFmtId="176" fontId="7" fillId="0" borderId="19" xfId="1" applyNumberFormat="1" applyFont="1" applyFill="1" applyBorder="1" applyAlignment="1">
      <alignment horizontal="center" vertical="center"/>
    </xf>
    <xf numFmtId="176" fontId="7" fillId="0" borderId="13" xfId="0" applyNumberFormat="1" applyFont="1" applyFill="1" applyBorder="1" applyAlignment="1">
      <alignment horizontal="center" vertical="center"/>
    </xf>
    <xf numFmtId="176" fontId="7" fillId="0" borderId="21" xfId="0" applyNumberFormat="1" applyFont="1" applyFill="1" applyBorder="1" applyAlignment="1">
      <alignment horizontal="center" vertical="center"/>
    </xf>
    <xf numFmtId="0" fontId="7" fillId="0" borderId="0" xfId="0" applyFont="1" applyFill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76" fontId="4" fillId="0" borderId="22" xfId="0" applyNumberFormat="1" applyFont="1" applyBorder="1" applyAlignment="1">
      <alignment horizontal="center" vertical="center"/>
    </xf>
    <xf numFmtId="176" fontId="4" fillId="0" borderId="20" xfId="0" applyNumberFormat="1" applyFont="1" applyBorder="1" applyAlignment="1">
      <alignment horizontal="center" vertical="center"/>
    </xf>
    <xf numFmtId="176" fontId="4" fillId="0" borderId="23" xfId="0" applyNumberFormat="1" applyFont="1" applyBorder="1" applyAlignment="1">
      <alignment horizontal="center" vertical="center"/>
    </xf>
    <xf numFmtId="176" fontId="4" fillId="0" borderId="24" xfId="0" applyNumberFormat="1" applyFont="1" applyBorder="1" applyAlignment="1">
      <alignment horizontal="center" vertical="center"/>
    </xf>
    <xf numFmtId="176" fontId="4" fillId="0" borderId="0" xfId="0" applyNumberFormat="1" applyFont="1">
      <alignment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7" fillId="4" borderId="19" xfId="0" applyNumberFormat="1" applyFont="1" applyFill="1" applyBorder="1" applyAlignment="1">
      <alignment horizontal="center" vertical="center"/>
    </xf>
    <xf numFmtId="176" fontId="7" fillId="4" borderId="20" xfId="0" applyNumberFormat="1" applyFont="1" applyFill="1" applyBorder="1" applyAlignment="1">
      <alignment horizontal="center" vertical="center"/>
    </xf>
    <xf numFmtId="186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6" xfId="0" applyBorder="1" applyAlignment="1">
      <alignment horizontal="right" vertical="center"/>
    </xf>
    <xf numFmtId="176" fontId="2" fillId="0" borderId="13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center" vertical="center"/>
    </xf>
    <xf numFmtId="176" fontId="2" fillId="0" borderId="19" xfId="0" applyNumberFormat="1" applyFont="1" applyBorder="1" applyAlignment="1">
      <alignment horizontal="center" vertical="center"/>
    </xf>
    <xf numFmtId="176" fontId="2" fillId="0" borderId="19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6" xfId="0" applyFont="1" applyBorder="1" applyAlignment="1">
      <alignment horizontal="center" vertical="center"/>
    </xf>
    <xf numFmtId="176" fontId="2" fillId="0" borderId="27" xfId="0" applyNumberFormat="1" applyFont="1" applyBorder="1" applyAlignment="1">
      <alignment horizontal="center" vertical="center"/>
    </xf>
    <xf numFmtId="176" fontId="3" fillId="0" borderId="24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2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6" fontId="2" fillId="4" borderId="19" xfId="0" applyNumberFormat="1" applyFont="1" applyFill="1" applyBorder="1" applyAlignment="1">
      <alignment horizontal="center" vertical="center"/>
    </xf>
    <xf numFmtId="176" fontId="2" fillId="4" borderId="20" xfId="0" applyNumberFormat="1" applyFont="1" applyFill="1" applyBorder="1" applyAlignment="1">
      <alignment horizontal="center" vertical="center"/>
    </xf>
    <xf numFmtId="0" fontId="2" fillId="0" borderId="0" xfId="0" applyFont="1" applyFill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E453-54BB-4A5C-B5FD-60A2AD3402F0}">
  <sheetPr>
    <tabColor theme="7" tint="0.79998168889431442"/>
  </sheetPr>
  <dimension ref="B1:J295"/>
  <sheetViews>
    <sheetView topLeftCell="A13" workbookViewId="0">
      <selection activeCell="C22" sqref="C22"/>
    </sheetView>
  </sheetViews>
  <sheetFormatPr defaultRowHeight="18.75" x14ac:dyDescent="0.4"/>
  <cols>
    <col min="2" max="2" width="25.625" customWidth="1"/>
    <col min="5" max="5" width="16.75" style="1" customWidth="1"/>
    <col min="7" max="7" width="25.625" customWidth="1"/>
    <col min="10" max="10" width="16.75" style="1" customWidth="1"/>
  </cols>
  <sheetData>
    <row r="1" spans="2:10" ht="19.5" thickBot="1" x14ac:dyDescent="0.45">
      <c r="E1" s="1">
        <v>4.0000000000000001E-3</v>
      </c>
    </row>
    <row r="2" spans="2:10" x14ac:dyDescent="0.4">
      <c r="B2" s="4"/>
      <c r="C2" s="5" t="s">
        <v>4</v>
      </c>
      <c r="D2" s="5" t="s">
        <v>10</v>
      </c>
      <c r="E2" s="5" t="s">
        <v>32</v>
      </c>
      <c r="G2" s="4"/>
      <c r="H2" s="5" t="s">
        <v>4</v>
      </c>
      <c r="I2" s="5" t="s">
        <v>10</v>
      </c>
      <c r="J2" s="5" t="s">
        <v>32</v>
      </c>
    </row>
    <row r="3" spans="2:10" x14ac:dyDescent="0.4">
      <c r="B3" s="6" t="s">
        <v>0</v>
      </c>
      <c r="C3" s="3">
        <v>9.81</v>
      </c>
      <c r="D3" s="9"/>
      <c r="E3" s="11"/>
      <c r="G3" s="6" t="s">
        <v>0</v>
      </c>
      <c r="H3" s="3">
        <v>10.669</v>
      </c>
      <c r="I3" s="9"/>
      <c r="J3" s="11"/>
    </row>
    <row r="4" spans="2:10" x14ac:dyDescent="0.4">
      <c r="B4" s="6" t="s">
        <v>1</v>
      </c>
      <c r="C4" s="3">
        <v>9.8550000000000004</v>
      </c>
      <c r="D4" s="9">
        <v>10</v>
      </c>
      <c r="E4" s="11">
        <f>(C4-C3)/D4</f>
        <v>4.4999999999999927E-3</v>
      </c>
      <c r="G4" s="6" t="s">
        <v>1</v>
      </c>
      <c r="H4" s="3">
        <v>10.677</v>
      </c>
      <c r="I4" s="9">
        <v>10</v>
      </c>
      <c r="J4" s="11">
        <f>(H4-H3)/I4</f>
        <v>7.9999999999991189E-4</v>
      </c>
    </row>
    <row r="5" spans="2:10" x14ac:dyDescent="0.4">
      <c r="B5" s="6" t="s">
        <v>2</v>
      </c>
      <c r="C5" s="3">
        <v>9.9009999999999998</v>
      </c>
      <c r="D5" s="9">
        <v>10</v>
      </c>
      <c r="E5" s="11">
        <f t="shared" ref="E5:E32" si="0">(C5-C4)/D5</f>
        <v>4.5999999999999375E-3</v>
      </c>
      <c r="G5" s="6" t="s">
        <v>41</v>
      </c>
      <c r="H5" s="3">
        <v>10.702</v>
      </c>
      <c r="I5" s="9">
        <v>5.0999999999999996</v>
      </c>
      <c r="J5" s="11">
        <f t="shared" ref="J5:J7" si="1">(H5-H4)/I5</f>
        <v>4.9019607843137957E-3</v>
      </c>
    </row>
    <row r="6" spans="2:10" x14ac:dyDescent="0.4">
      <c r="B6" s="6" t="s">
        <v>3</v>
      </c>
      <c r="C6" s="3">
        <v>9.9350000000000005</v>
      </c>
      <c r="D6" s="9">
        <v>10</v>
      </c>
      <c r="E6" s="11">
        <f t="shared" si="0"/>
        <v>3.4000000000000696E-3</v>
      </c>
      <c r="G6" s="6" t="s">
        <v>2</v>
      </c>
      <c r="H6" s="3">
        <v>10.669</v>
      </c>
      <c r="I6" s="9">
        <v>4.9000000000000004</v>
      </c>
      <c r="J6" s="11">
        <f t="shared" si="1"/>
        <v>-6.7346938775509129E-3</v>
      </c>
    </row>
    <row r="7" spans="2:10" ht="19.5" thickBot="1" x14ac:dyDescent="0.45">
      <c r="B7" s="16" t="s">
        <v>34</v>
      </c>
      <c r="C7" s="3">
        <v>9.9450000000000003</v>
      </c>
      <c r="D7" s="9">
        <v>5.5</v>
      </c>
      <c r="E7" s="11">
        <f t="shared" si="0"/>
        <v>1.8181818181817794E-3</v>
      </c>
      <c r="G7" s="24" t="s">
        <v>42</v>
      </c>
      <c r="H7" s="7">
        <v>10.643000000000001</v>
      </c>
      <c r="I7" s="10">
        <v>7.2</v>
      </c>
      <c r="J7" s="12">
        <f t="shared" si="1"/>
        <v>-3.6111111111110832E-3</v>
      </c>
    </row>
    <row r="8" spans="2:10" x14ac:dyDescent="0.4">
      <c r="B8" s="6" t="s">
        <v>5</v>
      </c>
      <c r="C8" s="3">
        <v>9.9469999999999992</v>
      </c>
      <c r="D8" s="9">
        <v>4.5</v>
      </c>
      <c r="E8" s="11">
        <f t="shared" si="0"/>
        <v>4.4444444444419814E-4</v>
      </c>
      <c r="H8" s="2"/>
      <c r="J8" s="17"/>
    </row>
    <row r="9" spans="2:10" ht="18.75" customHeight="1" x14ac:dyDescent="0.4">
      <c r="B9" s="6" t="s">
        <v>6</v>
      </c>
      <c r="C9" s="3">
        <v>9.9870000000000001</v>
      </c>
      <c r="D9" s="9">
        <v>10</v>
      </c>
      <c r="E9" s="11">
        <f t="shared" si="0"/>
        <v>4.000000000000092E-3</v>
      </c>
      <c r="H9" s="2"/>
      <c r="J9" s="17"/>
    </row>
    <row r="10" spans="2:10" x14ac:dyDescent="0.4">
      <c r="B10" s="6" t="s">
        <v>7</v>
      </c>
      <c r="C10" s="3">
        <v>10.026</v>
      </c>
      <c r="D10" s="9">
        <v>10</v>
      </c>
      <c r="E10" s="11">
        <f t="shared" si="0"/>
        <v>3.8999999999999703E-3</v>
      </c>
      <c r="H10" s="2"/>
      <c r="J10" s="17"/>
    </row>
    <row r="11" spans="2:10" x14ac:dyDescent="0.4">
      <c r="B11" s="16" t="s">
        <v>35</v>
      </c>
      <c r="C11" s="3">
        <v>10.054</v>
      </c>
      <c r="D11" s="9">
        <v>3.2</v>
      </c>
      <c r="E11" s="11">
        <f t="shared" si="0"/>
        <v>8.7500000000001465E-3</v>
      </c>
      <c r="H11" s="2"/>
      <c r="J11" s="17"/>
    </row>
    <row r="12" spans="2:10" x14ac:dyDescent="0.4">
      <c r="B12" s="6" t="s">
        <v>8</v>
      </c>
      <c r="C12" s="3">
        <v>10.045999999999999</v>
      </c>
      <c r="D12" s="9">
        <v>6.8</v>
      </c>
      <c r="E12" s="11">
        <f>(C12-C11)/D12</f>
        <v>-1.1764705882354259E-3</v>
      </c>
      <c r="H12" s="2"/>
      <c r="J12" s="17"/>
    </row>
    <row r="13" spans="2:10" x14ac:dyDescent="0.4">
      <c r="B13" s="6" t="s">
        <v>9</v>
      </c>
      <c r="C13" s="3">
        <v>10.048999999999999</v>
      </c>
      <c r="D13" s="9">
        <v>10</v>
      </c>
      <c r="E13" s="11">
        <f t="shared" si="0"/>
        <v>3.0000000000001136E-4</v>
      </c>
      <c r="H13" s="2"/>
      <c r="J13" s="17"/>
    </row>
    <row r="14" spans="2:10" x14ac:dyDescent="0.4">
      <c r="B14" s="6" t="s">
        <v>31</v>
      </c>
      <c r="C14" s="3">
        <v>10.068</v>
      </c>
      <c r="D14" s="9">
        <v>10</v>
      </c>
      <c r="E14" s="11">
        <f t="shared" si="0"/>
        <v>1.9000000000000128E-3</v>
      </c>
      <c r="H14" s="2"/>
      <c r="J14" s="17"/>
    </row>
    <row r="15" spans="2:10" x14ac:dyDescent="0.4">
      <c r="B15" s="6" t="s">
        <v>11</v>
      </c>
      <c r="C15" s="3">
        <v>10.087999999999999</v>
      </c>
      <c r="D15" s="9">
        <v>10</v>
      </c>
      <c r="E15" s="11">
        <f t="shared" si="0"/>
        <v>1.9999999999999575E-3</v>
      </c>
      <c r="H15" s="2"/>
      <c r="J15" s="17"/>
    </row>
    <row r="16" spans="2:10" x14ac:dyDescent="0.4">
      <c r="B16" s="6" t="s">
        <v>12</v>
      </c>
      <c r="C16" s="3">
        <v>10.089</v>
      </c>
      <c r="D16" s="9">
        <v>10</v>
      </c>
      <c r="E16" s="11">
        <f t="shared" si="0"/>
        <v>1.0000000000012221E-4</v>
      </c>
      <c r="H16" s="2"/>
      <c r="J16" s="17"/>
    </row>
    <row r="17" spans="2:10" x14ac:dyDescent="0.4">
      <c r="B17" s="6" t="s">
        <v>13</v>
      </c>
      <c r="C17" s="3">
        <v>10.138</v>
      </c>
      <c r="D17" s="9">
        <v>10</v>
      </c>
      <c r="E17" s="11">
        <f t="shared" si="0"/>
        <v>4.8999999999999487E-3</v>
      </c>
      <c r="H17" s="2"/>
      <c r="J17" s="17"/>
    </row>
    <row r="18" spans="2:10" x14ac:dyDescent="0.4">
      <c r="B18" s="16" t="s">
        <v>36</v>
      </c>
      <c r="C18" s="3">
        <v>10.153</v>
      </c>
      <c r="D18" s="9">
        <v>4.2</v>
      </c>
      <c r="E18" s="11">
        <f t="shared" si="0"/>
        <v>3.5714285714287066E-3</v>
      </c>
      <c r="H18" s="2"/>
      <c r="J18" s="17"/>
    </row>
    <row r="19" spans="2:10" x14ac:dyDescent="0.4">
      <c r="B19" s="6" t="s">
        <v>14</v>
      </c>
      <c r="C19" s="3">
        <v>10.154</v>
      </c>
      <c r="D19" s="9">
        <v>5.8</v>
      </c>
      <c r="E19" s="11">
        <f t="shared" si="0"/>
        <v>1.7241379310335272E-4</v>
      </c>
      <c r="H19" s="2"/>
      <c r="J19" s="17"/>
    </row>
    <row r="20" spans="2:10" x14ac:dyDescent="0.4">
      <c r="B20" s="6" t="s">
        <v>15</v>
      </c>
      <c r="C20" s="3">
        <v>10.192</v>
      </c>
      <c r="D20" s="9">
        <v>10</v>
      </c>
      <c r="E20" s="11">
        <f t="shared" si="0"/>
        <v>3.8000000000000256E-3</v>
      </c>
      <c r="H20" s="2"/>
      <c r="J20" s="17"/>
    </row>
    <row r="21" spans="2:10" x14ac:dyDescent="0.4">
      <c r="B21" s="6" t="s">
        <v>16</v>
      </c>
      <c r="C21" s="3">
        <v>10.228</v>
      </c>
      <c r="D21" s="9">
        <v>10</v>
      </c>
      <c r="E21" s="11">
        <f t="shared" si="0"/>
        <v>3.5999999999999587E-3</v>
      </c>
      <c r="H21" s="2"/>
      <c r="J21" s="17"/>
    </row>
    <row r="22" spans="2:10" x14ac:dyDescent="0.4">
      <c r="B22" s="6" t="s">
        <v>17</v>
      </c>
      <c r="C22" s="3">
        <v>10.298999999999999</v>
      </c>
      <c r="D22" s="9">
        <v>10</v>
      </c>
      <c r="E22" s="11">
        <f t="shared" si="0"/>
        <v>7.0999999999999727E-3</v>
      </c>
      <c r="H22" s="2"/>
      <c r="J22" s="17"/>
    </row>
    <row r="23" spans="2:10" x14ac:dyDescent="0.4">
      <c r="B23" s="6" t="s">
        <v>18</v>
      </c>
      <c r="C23" s="3">
        <v>10.364000000000001</v>
      </c>
      <c r="D23" s="9">
        <v>10</v>
      </c>
      <c r="E23" s="11">
        <f t="shared" si="0"/>
        <v>6.5000000000001281E-3</v>
      </c>
      <c r="H23" s="2"/>
      <c r="J23" s="17"/>
    </row>
    <row r="24" spans="2:10" x14ac:dyDescent="0.4">
      <c r="B24" s="16" t="s">
        <v>37</v>
      </c>
      <c r="C24" s="3">
        <v>10.375999999999999</v>
      </c>
      <c r="D24" s="9">
        <v>2.4</v>
      </c>
      <c r="E24" s="11">
        <f t="shared" si="0"/>
        <v>4.9999999999994493E-3</v>
      </c>
      <c r="H24" s="2"/>
      <c r="J24" s="17"/>
    </row>
    <row r="25" spans="2:10" x14ac:dyDescent="0.4">
      <c r="B25" s="6" t="s">
        <v>19</v>
      </c>
      <c r="C25" s="3">
        <v>10.414</v>
      </c>
      <c r="D25" s="9">
        <v>7.6</v>
      </c>
      <c r="E25" s="11">
        <f t="shared" si="0"/>
        <v>5.0000000000000339E-3</v>
      </c>
      <c r="H25" s="2"/>
      <c r="J25" s="17"/>
    </row>
    <row r="26" spans="2:10" x14ac:dyDescent="0.4">
      <c r="B26" s="6" t="s">
        <v>20</v>
      </c>
      <c r="C26" s="3">
        <v>10.465</v>
      </c>
      <c r="D26" s="9">
        <v>10</v>
      </c>
      <c r="E26" s="11">
        <f t="shared" si="0"/>
        <v>5.100000000000016E-3</v>
      </c>
      <c r="H26" s="2"/>
      <c r="J26" s="17"/>
    </row>
    <row r="27" spans="2:10" x14ac:dyDescent="0.4">
      <c r="B27" s="6" t="s">
        <v>21</v>
      </c>
      <c r="C27" s="3">
        <v>10.544</v>
      </c>
      <c r="D27" s="9">
        <v>10</v>
      </c>
      <c r="E27" s="11">
        <f t="shared" si="0"/>
        <v>7.9000000000000632E-3</v>
      </c>
      <c r="H27" s="2"/>
      <c r="J27" s="17"/>
    </row>
    <row r="28" spans="2:10" x14ac:dyDescent="0.4">
      <c r="B28" s="16" t="s">
        <v>38</v>
      </c>
      <c r="C28" s="3">
        <v>10.589</v>
      </c>
      <c r="D28" s="9">
        <v>4.8</v>
      </c>
      <c r="E28" s="11">
        <f t="shared" si="0"/>
        <v>9.3749999999999858E-3</v>
      </c>
      <c r="H28" s="2"/>
      <c r="J28" s="17"/>
    </row>
    <row r="29" spans="2:10" x14ac:dyDescent="0.4">
      <c r="B29" s="6" t="s">
        <v>22</v>
      </c>
      <c r="C29" s="3">
        <v>10.598000000000001</v>
      </c>
      <c r="D29" s="9">
        <v>5.2</v>
      </c>
      <c r="E29" s="11">
        <f t="shared" si="0"/>
        <v>1.7307692307692963E-3</v>
      </c>
      <c r="H29" s="2"/>
      <c r="J29" s="17"/>
    </row>
    <row r="30" spans="2:10" x14ac:dyDescent="0.4">
      <c r="B30" s="6" t="s">
        <v>23</v>
      </c>
      <c r="C30" s="3">
        <v>10.669</v>
      </c>
      <c r="D30" s="9">
        <v>10</v>
      </c>
      <c r="E30" s="11">
        <f t="shared" si="0"/>
        <v>7.0999999999999727E-3</v>
      </c>
      <c r="H30" s="2"/>
      <c r="J30" s="17"/>
    </row>
    <row r="31" spans="2:10" x14ac:dyDescent="0.4">
      <c r="B31" s="6" t="s">
        <v>39</v>
      </c>
      <c r="C31" s="3">
        <v>10.686</v>
      </c>
      <c r="D31" s="9">
        <v>4.2</v>
      </c>
      <c r="E31" s="11">
        <f t="shared" si="0"/>
        <v>4.0476190476189189E-3</v>
      </c>
      <c r="H31" s="2"/>
      <c r="J31" s="17"/>
    </row>
    <row r="32" spans="2:10" x14ac:dyDescent="0.4">
      <c r="B32" s="6" t="s">
        <v>24</v>
      </c>
      <c r="C32" s="3">
        <v>10.734999999999999</v>
      </c>
      <c r="D32" s="9">
        <v>5.8</v>
      </c>
      <c r="E32" s="11">
        <f t="shared" si="0"/>
        <v>8.448275862068878E-3</v>
      </c>
      <c r="H32" s="2"/>
      <c r="J32" s="17"/>
    </row>
    <row r="33" spans="2:10" ht="19.5" thickBot="1" x14ac:dyDescent="0.45">
      <c r="B33" s="24" t="s">
        <v>40</v>
      </c>
      <c r="C33" s="7">
        <v>10.693</v>
      </c>
      <c r="D33" s="10">
        <v>2.2999999999999998</v>
      </c>
      <c r="E33" s="12">
        <f>(C33-C32)/D33</f>
        <v>-1.8260869565217313E-2</v>
      </c>
      <c r="H33" s="2"/>
      <c r="J33" s="17"/>
    </row>
    <row r="34" spans="2:10" x14ac:dyDescent="0.4">
      <c r="C34" s="2"/>
      <c r="H34" s="2"/>
    </row>
    <row r="35" spans="2:10" x14ac:dyDescent="0.4">
      <c r="B35" s="32" t="s">
        <v>46</v>
      </c>
      <c r="C35" s="32"/>
      <c r="D35" s="32"/>
      <c r="E35" s="32"/>
      <c r="H35" s="2"/>
    </row>
    <row r="36" spans="2:10" x14ac:dyDescent="0.4">
      <c r="B36" s="32" t="s">
        <v>43</v>
      </c>
      <c r="C36" s="32"/>
      <c r="D36" s="32"/>
      <c r="E36" s="32"/>
      <c r="H36" s="2"/>
    </row>
    <row r="37" spans="2:10" x14ac:dyDescent="0.4">
      <c r="C37" s="2"/>
      <c r="H37" s="2"/>
    </row>
    <row r="38" spans="2:10" x14ac:dyDescent="0.4">
      <c r="C38" s="2"/>
      <c r="H38" s="2"/>
    </row>
    <row r="39" spans="2:10" x14ac:dyDescent="0.4">
      <c r="C39" s="2"/>
      <c r="H39" s="2"/>
    </row>
    <row r="40" spans="2:10" x14ac:dyDescent="0.4">
      <c r="C40" s="2"/>
      <c r="H40" s="2"/>
    </row>
    <row r="41" spans="2:10" x14ac:dyDescent="0.4">
      <c r="C41" s="2"/>
      <c r="H41" s="2"/>
    </row>
    <row r="42" spans="2:10" x14ac:dyDescent="0.4">
      <c r="C42" s="2"/>
      <c r="H42" s="2"/>
    </row>
    <row r="43" spans="2:10" x14ac:dyDescent="0.4">
      <c r="C43" s="2"/>
      <c r="H43" s="2"/>
    </row>
    <row r="44" spans="2:10" x14ac:dyDescent="0.4">
      <c r="C44" s="2"/>
      <c r="H44" s="2"/>
    </row>
    <row r="45" spans="2:10" x14ac:dyDescent="0.4">
      <c r="C45" s="2"/>
      <c r="H45" s="2"/>
    </row>
    <row r="46" spans="2:10" x14ac:dyDescent="0.4">
      <c r="C46" s="2"/>
      <c r="H46" s="2"/>
    </row>
    <row r="47" spans="2:10" x14ac:dyDescent="0.4">
      <c r="C47" s="2"/>
      <c r="H47" s="2"/>
    </row>
    <row r="48" spans="2:10" x14ac:dyDescent="0.4">
      <c r="C48" s="2"/>
      <c r="H48" s="2"/>
    </row>
    <row r="49" spans="3:8" x14ac:dyDescent="0.4">
      <c r="C49" s="2"/>
      <c r="H49" s="2"/>
    </row>
    <row r="50" spans="3:8" x14ac:dyDescent="0.4">
      <c r="C50" s="2"/>
      <c r="H50" s="2"/>
    </row>
    <row r="51" spans="3:8" x14ac:dyDescent="0.4">
      <c r="C51" s="2"/>
      <c r="H51" s="2"/>
    </row>
    <row r="52" spans="3:8" x14ac:dyDescent="0.4">
      <c r="C52" s="2"/>
      <c r="H52" s="2"/>
    </row>
    <row r="53" spans="3:8" x14ac:dyDescent="0.4">
      <c r="C53" s="2"/>
      <c r="H53" s="2"/>
    </row>
    <row r="54" spans="3:8" x14ac:dyDescent="0.4">
      <c r="C54" s="2"/>
      <c r="H54" s="2"/>
    </row>
    <row r="55" spans="3:8" x14ac:dyDescent="0.4">
      <c r="C55" s="2"/>
      <c r="H55" s="2"/>
    </row>
    <row r="56" spans="3:8" x14ac:dyDescent="0.4">
      <c r="C56" s="2"/>
      <c r="H56" s="2"/>
    </row>
    <row r="57" spans="3:8" x14ac:dyDescent="0.4">
      <c r="C57" s="2"/>
      <c r="H57" s="2"/>
    </row>
    <row r="58" spans="3:8" x14ac:dyDescent="0.4">
      <c r="C58" s="2"/>
      <c r="H58" s="2"/>
    </row>
    <row r="59" spans="3:8" x14ac:dyDescent="0.4">
      <c r="C59" s="2"/>
      <c r="H59" s="2"/>
    </row>
    <row r="60" spans="3:8" x14ac:dyDescent="0.4">
      <c r="C60" s="2"/>
      <c r="H60" s="2"/>
    </row>
    <row r="61" spans="3:8" x14ac:dyDescent="0.4">
      <c r="C61" s="2"/>
      <c r="H61" s="2"/>
    </row>
    <row r="62" spans="3:8" x14ac:dyDescent="0.4">
      <c r="C62" s="2"/>
      <c r="H62" s="2"/>
    </row>
    <row r="63" spans="3:8" x14ac:dyDescent="0.4">
      <c r="C63" s="2"/>
      <c r="H63" s="2"/>
    </row>
    <row r="64" spans="3:8" x14ac:dyDescent="0.4">
      <c r="C64" s="2"/>
      <c r="H64" s="2"/>
    </row>
    <row r="65" spans="3:8" x14ac:dyDescent="0.4">
      <c r="C65" s="2"/>
      <c r="H65" s="2"/>
    </row>
    <row r="66" spans="3:8" x14ac:dyDescent="0.4">
      <c r="C66" s="2"/>
      <c r="H66" s="2"/>
    </row>
    <row r="67" spans="3:8" x14ac:dyDescent="0.4">
      <c r="C67" s="2"/>
      <c r="H67" s="2"/>
    </row>
    <row r="68" spans="3:8" x14ac:dyDescent="0.4">
      <c r="C68" s="2"/>
      <c r="H68" s="2"/>
    </row>
    <row r="69" spans="3:8" x14ac:dyDescent="0.4">
      <c r="C69" s="2"/>
      <c r="H69" s="2"/>
    </row>
    <row r="70" spans="3:8" x14ac:dyDescent="0.4">
      <c r="C70" s="2"/>
      <c r="H70" s="2"/>
    </row>
    <row r="71" spans="3:8" x14ac:dyDescent="0.4">
      <c r="C71" s="2"/>
      <c r="H71" s="2"/>
    </row>
    <row r="72" spans="3:8" x14ac:dyDescent="0.4">
      <c r="C72" s="2"/>
      <c r="H72" s="2"/>
    </row>
    <row r="73" spans="3:8" x14ac:dyDescent="0.4">
      <c r="C73" s="2"/>
      <c r="H73" s="2"/>
    </row>
    <row r="74" spans="3:8" x14ac:dyDescent="0.4">
      <c r="C74" s="2"/>
      <c r="H74" s="2"/>
    </row>
    <row r="75" spans="3:8" x14ac:dyDescent="0.4">
      <c r="C75" s="2"/>
      <c r="H75" s="2"/>
    </row>
    <row r="76" spans="3:8" x14ac:dyDescent="0.4">
      <c r="C76" s="2"/>
      <c r="H76" s="2"/>
    </row>
    <row r="77" spans="3:8" x14ac:dyDescent="0.4">
      <c r="C77" s="2"/>
      <c r="H77" s="2"/>
    </row>
    <row r="78" spans="3:8" x14ac:dyDescent="0.4">
      <c r="C78" s="2"/>
      <c r="H78" s="2"/>
    </row>
    <row r="79" spans="3:8" x14ac:dyDescent="0.4">
      <c r="C79" s="2"/>
      <c r="H79" s="2"/>
    </row>
    <row r="80" spans="3:8" x14ac:dyDescent="0.4">
      <c r="C80" s="2"/>
      <c r="H80" s="2"/>
    </row>
    <row r="81" spans="3:8" x14ac:dyDescent="0.4">
      <c r="C81" s="2"/>
      <c r="H81" s="2"/>
    </row>
    <row r="82" spans="3:8" x14ac:dyDescent="0.4">
      <c r="C82" s="2"/>
      <c r="H82" s="2"/>
    </row>
    <row r="83" spans="3:8" x14ac:dyDescent="0.4">
      <c r="C83" s="2"/>
      <c r="H83" s="2"/>
    </row>
    <row r="84" spans="3:8" x14ac:dyDescent="0.4">
      <c r="C84" s="2"/>
      <c r="H84" s="2"/>
    </row>
    <row r="85" spans="3:8" x14ac:dyDescent="0.4">
      <c r="C85" s="2"/>
      <c r="H85" s="2"/>
    </row>
    <row r="86" spans="3:8" x14ac:dyDescent="0.4">
      <c r="C86" s="2"/>
      <c r="H86" s="2"/>
    </row>
    <row r="87" spans="3:8" x14ac:dyDescent="0.4">
      <c r="C87" s="2"/>
      <c r="H87" s="2"/>
    </row>
    <row r="88" spans="3:8" x14ac:dyDescent="0.4">
      <c r="C88" s="2"/>
      <c r="H88" s="2"/>
    </row>
    <row r="89" spans="3:8" x14ac:dyDescent="0.4">
      <c r="C89" s="2"/>
      <c r="H89" s="2"/>
    </row>
    <row r="90" spans="3:8" x14ac:dyDescent="0.4">
      <c r="C90" s="2"/>
      <c r="H90" s="2"/>
    </row>
    <row r="91" spans="3:8" x14ac:dyDescent="0.4">
      <c r="C91" s="2"/>
      <c r="H91" s="2"/>
    </row>
    <row r="92" spans="3:8" x14ac:dyDescent="0.4">
      <c r="C92" s="2"/>
      <c r="H92" s="2"/>
    </row>
    <row r="93" spans="3:8" x14ac:dyDescent="0.4">
      <c r="C93" s="2"/>
      <c r="H93" s="2"/>
    </row>
    <row r="94" spans="3:8" x14ac:dyDescent="0.4">
      <c r="C94" s="2"/>
      <c r="H94" s="2"/>
    </row>
    <row r="95" spans="3:8" x14ac:dyDescent="0.4">
      <c r="C95" s="2"/>
      <c r="H95" s="2"/>
    </row>
    <row r="96" spans="3:8" x14ac:dyDescent="0.4">
      <c r="C96" s="2"/>
      <c r="H96" s="2"/>
    </row>
    <row r="97" spans="3:8" x14ac:dyDescent="0.4">
      <c r="C97" s="2"/>
      <c r="H97" s="2"/>
    </row>
    <row r="98" spans="3:8" x14ac:dyDescent="0.4">
      <c r="C98" s="2"/>
      <c r="H98" s="2"/>
    </row>
    <row r="99" spans="3:8" x14ac:dyDescent="0.4">
      <c r="C99" s="2"/>
      <c r="H99" s="2"/>
    </row>
    <row r="100" spans="3:8" x14ac:dyDescent="0.4">
      <c r="C100" s="2"/>
      <c r="H100" s="2"/>
    </row>
    <row r="101" spans="3:8" x14ac:dyDescent="0.4">
      <c r="C101" s="2"/>
      <c r="H101" s="2"/>
    </row>
    <row r="102" spans="3:8" x14ac:dyDescent="0.4">
      <c r="C102" s="2"/>
      <c r="H102" s="2"/>
    </row>
    <row r="103" spans="3:8" x14ac:dyDescent="0.4">
      <c r="C103" s="2"/>
      <c r="H103" s="2"/>
    </row>
    <row r="104" spans="3:8" x14ac:dyDescent="0.4">
      <c r="C104" s="2"/>
      <c r="H104" s="2"/>
    </row>
    <row r="105" spans="3:8" x14ac:dyDescent="0.4">
      <c r="C105" s="2"/>
      <c r="H105" s="2"/>
    </row>
    <row r="106" spans="3:8" x14ac:dyDescent="0.4">
      <c r="C106" s="2"/>
      <c r="H106" s="2"/>
    </row>
    <row r="107" spans="3:8" x14ac:dyDescent="0.4">
      <c r="C107" s="2"/>
      <c r="H107" s="2"/>
    </row>
    <row r="108" spans="3:8" x14ac:dyDescent="0.4">
      <c r="C108" s="2"/>
      <c r="H108" s="2"/>
    </row>
    <row r="109" spans="3:8" x14ac:dyDescent="0.4">
      <c r="C109" s="2"/>
      <c r="H109" s="2"/>
    </row>
    <row r="110" spans="3:8" x14ac:dyDescent="0.4">
      <c r="C110" s="2"/>
      <c r="H110" s="2"/>
    </row>
    <row r="111" spans="3:8" x14ac:dyDescent="0.4">
      <c r="C111" s="2"/>
      <c r="H111" s="2"/>
    </row>
    <row r="112" spans="3:8" x14ac:dyDescent="0.4">
      <c r="C112" s="2"/>
      <c r="H112" s="2"/>
    </row>
    <row r="113" spans="3:8" x14ac:dyDescent="0.4">
      <c r="C113" s="2"/>
      <c r="H113" s="2"/>
    </row>
    <row r="114" spans="3:8" x14ac:dyDescent="0.4">
      <c r="C114" s="2"/>
      <c r="H114" s="2"/>
    </row>
    <row r="115" spans="3:8" x14ac:dyDescent="0.4">
      <c r="C115" s="2"/>
      <c r="H115" s="2"/>
    </row>
    <row r="116" spans="3:8" x14ac:dyDescent="0.4">
      <c r="C116" s="2"/>
      <c r="H116" s="2"/>
    </row>
    <row r="117" spans="3:8" x14ac:dyDescent="0.4">
      <c r="C117" s="2"/>
      <c r="H117" s="2"/>
    </row>
    <row r="118" spans="3:8" x14ac:dyDescent="0.4">
      <c r="C118" s="2"/>
      <c r="H118" s="2"/>
    </row>
    <row r="119" spans="3:8" x14ac:dyDescent="0.4">
      <c r="C119" s="2"/>
      <c r="H119" s="2"/>
    </row>
    <row r="120" spans="3:8" x14ac:dyDescent="0.4">
      <c r="C120" s="2"/>
      <c r="H120" s="2"/>
    </row>
    <row r="121" spans="3:8" x14ac:dyDescent="0.4">
      <c r="C121" s="2"/>
      <c r="H121" s="2"/>
    </row>
    <row r="122" spans="3:8" x14ac:dyDescent="0.4">
      <c r="C122" s="2"/>
      <c r="H122" s="2"/>
    </row>
    <row r="123" spans="3:8" x14ac:dyDescent="0.4">
      <c r="C123" s="2"/>
      <c r="H123" s="2"/>
    </row>
    <row r="124" spans="3:8" x14ac:dyDescent="0.4">
      <c r="C124" s="2"/>
      <c r="H124" s="2"/>
    </row>
    <row r="125" spans="3:8" x14ac:dyDescent="0.4">
      <c r="C125" s="2"/>
      <c r="H125" s="2"/>
    </row>
    <row r="126" spans="3:8" x14ac:dyDescent="0.4">
      <c r="C126" s="2"/>
      <c r="H126" s="2"/>
    </row>
    <row r="127" spans="3:8" x14ac:dyDescent="0.4">
      <c r="C127" s="2"/>
      <c r="H127" s="2"/>
    </row>
    <row r="128" spans="3:8" x14ac:dyDescent="0.4">
      <c r="C128" s="2"/>
      <c r="H128" s="2"/>
    </row>
    <row r="129" spans="3:8" x14ac:dyDescent="0.4">
      <c r="C129" s="2"/>
      <c r="H129" s="2"/>
    </row>
    <row r="130" spans="3:8" x14ac:dyDescent="0.4">
      <c r="C130" s="2"/>
      <c r="H130" s="2"/>
    </row>
    <row r="131" spans="3:8" x14ac:dyDescent="0.4">
      <c r="C131" s="2"/>
      <c r="H131" s="2"/>
    </row>
    <row r="132" spans="3:8" x14ac:dyDescent="0.4">
      <c r="C132" s="2"/>
      <c r="H132" s="2"/>
    </row>
    <row r="133" spans="3:8" x14ac:dyDescent="0.4">
      <c r="C133" s="2"/>
      <c r="H133" s="2"/>
    </row>
    <row r="134" spans="3:8" x14ac:dyDescent="0.4">
      <c r="C134" s="2"/>
      <c r="H134" s="2"/>
    </row>
    <row r="135" spans="3:8" x14ac:dyDescent="0.4">
      <c r="C135" s="2"/>
      <c r="H135" s="2"/>
    </row>
    <row r="136" spans="3:8" x14ac:dyDescent="0.4">
      <c r="C136" s="2"/>
      <c r="H136" s="2"/>
    </row>
    <row r="137" spans="3:8" x14ac:dyDescent="0.4">
      <c r="C137" s="2"/>
      <c r="H137" s="2"/>
    </row>
    <row r="138" spans="3:8" x14ac:dyDescent="0.4">
      <c r="C138" s="2"/>
      <c r="H138" s="2"/>
    </row>
    <row r="139" spans="3:8" x14ac:dyDescent="0.4">
      <c r="C139" s="2"/>
      <c r="H139" s="2"/>
    </row>
    <row r="140" spans="3:8" x14ac:dyDescent="0.4">
      <c r="C140" s="2"/>
      <c r="H140" s="2"/>
    </row>
    <row r="141" spans="3:8" x14ac:dyDescent="0.4">
      <c r="C141" s="2"/>
      <c r="H141" s="2"/>
    </row>
    <row r="142" spans="3:8" x14ac:dyDescent="0.4">
      <c r="C142" s="2"/>
      <c r="H142" s="2"/>
    </row>
    <row r="143" spans="3:8" x14ac:dyDescent="0.4">
      <c r="C143" s="2"/>
      <c r="H143" s="2"/>
    </row>
    <row r="144" spans="3:8" x14ac:dyDescent="0.4">
      <c r="C144" s="2"/>
      <c r="H144" s="2"/>
    </row>
    <row r="145" spans="3:8" x14ac:dyDescent="0.4">
      <c r="C145" s="2"/>
      <c r="H145" s="2"/>
    </row>
    <row r="146" spans="3:8" x14ac:dyDescent="0.4">
      <c r="C146" s="2"/>
      <c r="H146" s="2"/>
    </row>
    <row r="147" spans="3:8" x14ac:dyDescent="0.4">
      <c r="C147" s="2"/>
      <c r="H147" s="2"/>
    </row>
    <row r="148" spans="3:8" x14ac:dyDescent="0.4">
      <c r="C148" s="2"/>
      <c r="H148" s="2"/>
    </row>
    <row r="149" spans="3:8" x14ac:dyDescent="0.4">
      <c r="C149" s="2"/>
      <c r="H149" s="2"/>
    </row>
    <row r="150" spans="3:8" x14ac:dyDescent="0.4">
      <c r="C150" s="2"/>
      <c r="H150" s="2"/>
    </row>
    <row r="151" spans="3:8" x14ac:dyDescent="0.4">
      <c r="C151" s="2"/>
      <c r="H151" s="2"/>
    </row>
    <row r="152" spans="3:8" x14ac:dyDescent="0.4">
      <c r="C152" s="2"/>
      <c r="H152" s="2"/>
    </row>
    <row r="153" spans="3:8" x14ac:dyDescent="0.4">
      <c r="C153" s="2"/>
      <c r="H153" s="2"/>
    </row>
    <row r="154" spans="3:8" x14ac:dyDescent="0.4">
      <c r="C154" s="2"/>
      <c r="H154" s="2"/>
    </row>
    <row r="155" spans="3:8" x14ac:dyDescent="0.4">
      <c r="C155" s="2"/>
      <c r="H155" s="2"/>
    </row>
    <row r="156" spans="3:8" x14ac:dyDescent="0.4">
      <c r="C156" s="2"/>
      <c r="H156" s="2"/>
    </row>
    <row r="157" spans="3:8" x14ac:dyDescent="0.4">
      <c r="C157" s="2"/>
      <c r="H157" s="2"/>
    </row>
    <row r="158" spans="3:8" x14ac:dyDescent="0.4">
      <c r="C158" s="2"/>
      <c r="H158" s="2"/>
    </row>
    <row r="159" spans="3:8" x14ac:dyDescent="0.4">
      <c r="C159" s="2"/>
      <c r="H159" s="2"/>
    </row>
    <row r="160" spans="3:8" x14ac:dyDescent="0.4">
      <c r="C160" s="2"/>
      <c r="H160" s="2"/>
    </row>
    <row r="161" spans="3:8" x14ac:dyDescent="0.4">
      <c r="C161" s="2"/>
      <c r="H161" s="2"/>
    </row>
    <row r="162" spans="3:8" x14ac:dyDescent="0.4">
      <c r="C162" s="2"/>
      <c r="H162" s="2"/>
    </row>
    <row r="163" spans="3:8" x14ac:dyDescent="0.4">
      <c r="C163" s="2"/>
      <c r="H163" s="2"/>
    </row>
    <row r="164" spans="3:8" x14ac:dyDescent="0.4">
      <c r="C164" s="2"/>
      <c r="H164" s="2"/>
    </row>
    <row r="165" spans="3:8" x14ac:dyDescent="0.4">
      <c r="C165" s="2"/>
      <c r="H165" s="2"/>
    </row>
    <row r="166" spans="3:8" x14ac:dyDescent="0.4">
      <c r="C166" s="2"/>
      <c r="H166" s="2"/>
    </row>
    <row r="167" spans="3:8" x14ac:dyDescent="0.4">
      <c r="C167" s="2"/>
      <c r="H167" s="2"/>
    </row>
    <row r="168" spans="3:8" x14ac:dyDescent="0.4">
      <c r="C168" s="2"/>
      <c r="H168" s="2"/>
    </row>
    <row r="169" spans="3:8" x14ac:dyDescent="0.4">
      <c r="C169" s="2"/>
      <c r="H169" s="2"/>
    </row>
    <row r="170" spans="3:8" x14ac:dyDescent="0.4">
      <c r="C170" s="2"/>
      <c r="H170" s="2"/>
    </row>
    <row r="171" spans="3:8" x14ac:dyDescent="0.4">
      <c r="C171" s="2"/>
      <c r="H171" s="2"/>
    </row>
    <row r="172" spans="3:8" x14ac:dyDescent="0.4">
      <c r="C172" s="2"/>
      <c r="H172" s="2"/>
    </row>
    <row r="173" spans="3:8" x14ac:dyDescent="0.4">
      <c r="C173" s="2"/>
      <c r="H173" s="2"/>
    </row>
    <row r="174" spans="3:8" x14ac:dyDescent="0.4">
      <c r="C174" s="2"/>
      <c r="H174" s="2"/>
    </row>
    <row r="175" spans="3:8" x14ac:dyDescent="0.4">
      <c r="C175" s="2"/>
      <c r="H175" s="2"/>
    </row>
    <row r="176" spans="3:8" x14ac:dyDescent="0.4">
      <c r="C176" s="2"/>
      <c r="H176" s="2"/>
    </row>
    <row r="177" spans="3:8" x14ac:dyDescent="0.4">
      <c r="C177" s="2"/>
      <c r="H177" s="2"/>
    </row>
    <row r="178" spans="3:8" x14ac:dyDescent="0.4">
      <c r="C178" s="2"/>
      <c r="H178" s="2"/>
    </row>
    <row r="179" spans="3:8" x14ac:dyDescent="0.4">
      <c r="C179" s="2"/>
      <c r="H179" s="2"/>
    </row>
    <row r="180" spans="3:8" x14ac:dyDescent="0.4">
      <c r="C180" s="2"/>
      <c r="H180" s="2"/>
    </row>
    <row r="181" spans="3:8" x14ac:dyDescent="0.4">
      <c r="C181" s="2"/>
      <c r="H181" s="2"/>
    </row>
    <row r="182" spans="3:8" x14ac:dyDescent="0.4">
      <c r="C182" s="2"/>
      <c r="H182" s="2"/>
    </row>
    <row r="183" spans="3:8" x14ac:dyDescent="0.4">
      <c r="C183" s="2"/>
      <c r="H183" s="2"/>
    </row>
    <row r="184" spans="3:8" x14ac:dyDescent="0.4">
      <c r="C184" s="2"/>
      <c r="H184" s="2"/>
    </row>
    <row r="185" spans="3:8" x14ac:dyDescent="0.4">
      <c r="C185" s="2"/>
      <c r="H185" s="2"/>
    </row>
    <row r="186" spans="3:8" x14ac:dyDescent="0.4">
      <c r="C186" s="2"/>
      <c r="H186" s="2"/>
    </row>
    <row r="187" spans="3:8" x14ac:dyDescent="0.4">
      <c r="C187" s="2"/>
      <c r="H187" s="2"/>
    </row>
    <row r="188" spans="3:8" x14ac:dyDescent="0.4">
      <c r="C188" s="2"/>
      <c r="H188" s="2"/>
    </row>
    <row r="189" spans="3:8" x14ac:dyDescent="0.4">
      <c r="C189" s="2"/>
      <c r="H189" s="2"/>
    </row>
    <row r="190" spans="3:8" x14ac:dyDescent="0.4">
      <c r="C190" s="2"/>
      <c r="H190" s="2"/>
    </row>
    <row r="191" spans="3:8" x14ac:dyDescent="0.4">
      <c r="C191" s="2"/>
      <c r="H191" s="2"/>
    </row>
    <row r="192" spans="3:8" x14ac:dyDescent="0.4">
      <c r="C192" s="2"/>
      <c r="H192" s="2"/>
    </row>
    <row r="193" spans="3:8" x14ac:dyDescent="0.4">
      <c r="C193" s="2"/>
      <c r="H193" s="2"/>
    </row>
    <row r="194" spans="3:8" x14ac:dyDescent="0.4">
      <c r="C194" s="2"/>
      <c r="H194" s="2"/>
    </row>
    <row r="195" spans="3:8" x14ac:dyDescent="0.4">
      <c r="C195" s="2"/>
      <c r="H195" s="2"/>
    </row>
    <row r="196" spans="3:8" x14ac:dyDescent="0.4">
      <c r="C196" s="2"/>
      <c r="H196" s="2"/>
    </row>
    <row r="197" spans="3:8" x14ac:dyDescent="0.4">
      <c r="C197" s="2"/>
      <c r="H197" s="2"/>
    </row>
    <row r="198" spans="3:8" x14ac:dyDescent="0.4">
      <c r="C198" s="2"/>
      <c r="H198" s="2"/>
    </row>
    <row r="199" spans="3:8" x14ac:dyDescent="0.4">
      <c r="C199" s="2"/>
      <c r="H199" s="2"/>
    </row>
    <row r="200" spans="3:8" x14ac:dyDescent="0.4">
      <c r="C200" s="2"/>
      <c r="H200" s="2"/>
    </row>
    <row r="201" spans="3:8" x14ac:dyDescent="0.4">
      <c r="C201" s="2"/>
      <c r="H201" s="2"/>
    </row>
    <row r="202" spans="3:8" x14ac:dyDescent="0.4">
      <c r="C202" s="2"/>
      <c r="H202" s="2"/>
    </row>
    <row r="203" spans="3:8" x14ac:dyDescent="0.4">
      <c r="C203" s="2"/>
      <c r="H203" s="2"/>
    </row>
    <row r="204" spans="3:8" x14ac:dyDescent="0.4">
      <c r="C204" s="2"/>
      <c r="H204" s="2"/>
    </row>
    <row r="205" spans="3:8" x14ac:dyDescent="0.4">
      <c r="C205" s="2"/>
      <c r="H205" s="2"/>
    </row>
    <row r="206" spans="3:8" x14ac:dyDescent="0.4">
      <c r="C206" s="2"/>
      <c r="H206" s="2"/>
    </row>
    <row r="207" spans="3:8" x14ac:dyDescent="0.4">
      <c r="C207" s="2"/>
      <c r="H207" s="2"/>
    </row>
    <row r="208" spans="3:8" x14ac:dyDescent="0.4">
      <c r="C208" s="2"/>
      <c r="H208" s="2"/>
    </row>
    <row r="209" spans="3:8" x14ac:dyDescent="0.4">
      <c r="C209" s="2"/>
      <c r="H209" s="2"/>
    </row>
    <row r="210" spans="3:8" x14ac:dyDescent="0.4">
      <c r="C210" s="2"/>
      <c r="H210" s="2"/>
    </row>
    <row r="211" spans="3:8" x14ac:dyDescent="0.4">
      <c r="C211" s="2"/>
      <c r="H211" s="2"/>
    </row>
    <row r="212" spans="3:8" x14ac:dyDescent="0.4">
      <c r="C212" s="2"/>
      <c r="H212" s="2"/>
    </row>
    <row r="213" spans="3:8" x14ac:dyDescent="0.4">
      <c r="C213" s="2"/>
      <c r="H213" s="2"/>
    </row>
    <row r="214" spans="3:8" x14ac:dyDescent="0.4">
      <c r="C214" s="2"/>
      <c r="H214" s="2"/>
    </row>
    <row r="215" spans="3:8" x14ac:dyDescent="0.4">
      <c r="C215" s="2"/>
      <c r="H215" s="2"/>
    </row>
    <row r="216" spans="3:8" x14ac:dyDescent="0.4">
      <c r="C216" s="2"/>
      <c r="H216" s="2"/>
    </row>
    <row r="217" spans="3:8" x14ac:dyDescent="0.4">
      <c r="C217" s="2"/>
      <c r="H217" s="2"/>
    </row>
    <row r="218" spans="3:8" x14ac:dyDescent="0.4">
      <c r="C218" s="2"/>
      <c r="H218" s="2"/>
    </row>
    <row r="219" spans="3:8" x14ac:dyDescent="0.4">
      <c r="C219" s="2"/>
      <c r="H219" s="2"/>
    </row>
    <row r="220" spans="3:8" x14ac:dyDescent="0.4">
      <c r="C220" s="2"/>
      <c r="H220" s="2"/>
    </row>
    <row r="221" spans="3:8" x14ac:dyDescent="0.4">
      <c r="C221" s="2"/>
      <c r="H221" s="2"/>
    </row>
    <row r="222" spans="3:8" x14ac:dyDescent="0.4">
      <c r="C222" s="2"/>
      <c r="H222" s="2"/>
    </row>
    <row r="223" spans="3:8" x14ac:dyDescent="0.4">
      <c r="C223" s="2"/>
      <c r="H223" s="2"/>
    </row>
    <row r="224" spans="3:8" x14ac:dyDescent="0.4">
      <c r="C224" s="2"/>
      <c r="H224" s="2"/>
    </row>
    <row r="225" spans="3:8" x14ac:dyDescent="0.4">
      <c r="C225" s="2"/>
      <c r="H225" s="2"/>
    </row>
    <row r="226" spans="3:8" x14ac:dyDescent="0.4">
      <c r="C226" s="2"/>
      <c r="H226" s="2"/>
    </row>
    <row r="227" spans="3:8" x14ac:dyDescent="0.4">
      <c r="C227" s="2"/>
      <c r="H227" s="2"/>
    </row>
    <row r="228" spans="3:8" x14ac:dyDescent="0.4">
      <c r="C228" s="2"/>
      <c r="H228" s="2"/>
    </row>
    <row r="229" spans="3:8" x14ac:dyDescent="0.4">
      <c r="C229" s="2"/>
      <c r="H229" s="2"/>
    </row>
    <row r="230" spans="3:8" x14ac:dyDescent="0.4">
      <c r="C230" s="2"/>
      <c r="H230" s="2"/>
    </row>
    <row r="231" spans="3:8" x14ac:dyDescent="0.4">
      <c r="C231" s="2"/>
      <c r="H231" s="2"/>
    </row>
    <row r="232" spans="3:8" x14ac:dyDescent="0.4">
      <c r="C232" s="2"/>
      <c r="H232" s="2"/>
    </row>
    <row r="233" spans="3:8" x14ac:dyDescent="0.4">
      <c r="C233" s="2"/>
      <c r="H233" s="2"/>
    </row>
    <row r="234" spans="3:8" x14ac:dyDescent="0.4">
      <c r="C234" s="2"/>
      <c r="H234" s="2"/>
    </row>
    <row r="235" spans="3:8" x14ac:dyDescent="0.4">
      <c r="C235" s="2"/>
      <c r="H235" s="2"/>
    </row>
    <row r="236" spans="3:8" x14ac:dyDescent="0.4">
      <c r="C236" s="2"/>
      <c r="H236" s="2"/>
    </row>
    <row r="237" spans="3:8" x14ac:dyDescent="0.4">
      <c r="C237" s="2"/>
      <c r="H237" s="2"/>
    </row>
    <row r="238" spans="3:8" x14ac:dyDescent="0.4">
      <c r="C238" s="2"/>
      <c r="H238" s="2"/>
    </row>
    <row r="239" spans="3:8" x14ac:dyDescent="0.4">
      <c r="C239" s="2"/>
      <c r="H239" s="2"/>
    </row>
    <row r="240" spans="3:8" x14ac:dyDescent="0.4">
      <c r="C240" s="2"/>
      <c r="H240" s="2"/>
    </row>
    <row r="241" spans="3:8" x14ac:dyDescent="0.4">
      <c r="C241" s="2"/>
      <c r="H241" s="2"/>
    </row>
    <row r="242" spans="3:8" x14ac:dyDescent="0.4">
      <c r="C242" s="2"/>
      <c r="H242" s="2"/>
    </row>
    <row r="243" spans="3:8" x14ac:dyDescent="0.4">
      <c r="C243" s="2"/>
      <c r="H243" s="2"/>
    </row>
    <row r="244" spans="3:8" x14ac:dyDescent="0.4">
      <c r="C244" s="2"/>
      <c r="H244" s="2"/>
    </row>
    <row r="245" spans="3:8" x14ac:dyDescent="0.4">
      <c r="C245" s="2"/>
      <c r="H245" s="2"/>
    </row>
    <row r="246" spans="3:8" x14ac:dyDescent="0.4">
      <c r="C246" s="2"/>
      <c r="H246" s="2"/>
    </row>
    <row r="247" spans="3:8" x14ac:dyDescent="0.4">
      <c r="C247" s="2"/>
      <c r="H247" s="2"/>
    </row>
    <row r="248" spans="3:8" x14ac:dyDescent="0.4">
      <c r="C248" s="2"/>
      <c r="H248" s="2"/>
    </row>
    <row r="249" spans="3:8" x14ac:dyDescent="0.4">
      <c r="C249" s="2"/>
      <c r="H249" s="2"/>
    </row>
    <row r="250" spans="3:8" x14ac:dyDescent="0.4">
      <c r="C250" s="2"/>
      <c r="H250" s="2"/>
    </row>
    <row r="251" spans="3:8" x14ac:dyDescent="0.4">
      <c r="C251" s="2"/>
      <c r="H251" s="2"/>
    </row>
    <row r="252" spans="3:8" x14ac:dyDescent="0.4">
      <c r="C252" s="2"/>
      <c r="H252" s="2"/>
    </row>
    <row r="253" spans="3:8" x14ac:dyDescent="0.4">
      <c r="C253" s="2"/>
      <c r="H253" s="2"/>
    </row>
    <row r="254" spans="3:8" x14ac:dyDescent="0.4">
      <c r="C254" s="2"/>
      <c r="H254" s="2"/>
    </row>
    <row r="255" spans="3:8" x14ac:dyDescent="0.4">
      <c r="C255" s="2"/>
      <c r="H255" s="2"/>
    </row>
    <row r="256" spans="3:8" x14ac:dyDescent="0.4">
      <c r="C256" s="2"/>
      <c r="H256" s="2"/>
    </row>
    <row r="257" spans="3:8" x14ac:dyDescent="0.4">
      <c r="C257" s="2"/>
      <c r="H257" s="2"/>
    </row>
    <row r="258" spans="3:8" x14ac:dyDescent="0.4">
      <c r="C258" s="2"/>
      <c r="H258" s="2"/>
    </row>
    <row r="259" spans="3:8" x14ac:dyDescent="0.4">
      <c r="C259" s="2"/>
      <c r="H259" s="2"/>
    </row>
    <row r="260" spans="3:8" x14ac:dyDescent="0.4">
      <c r="C260" s="2"/>
      <c r="H260" s="2"/>
    </row>
    <row r="261" spans="3:8" x14ac:dyDescent="0.4">
      <c r="C261" s="2"/>
      <c r="H261" s="2"/>
    </row>
    <row r="262" spans="3:8" x14ac:dyDescent="0.4">
      <c r="C262" s="2"/>
      <c r="H262" s="2"/>
    </row>
    <row r="263" spans="3:8" x14ac:dyDescent="0.4">
      <c r="C263" s="2"/>
      <c r="H263" s="2"/>
    </row>
    <row r="264" spans="3:8" x14ac:dyDescent="0.4">
      <c r="C264" s="2"/>
      <c r="H264" s="2"/>
    </row>
    <row r="265" spans="3:8" x14ac:dyDescent="0.4">
      <c r="C265" s="2"/>
      <c r="H265" s="2"/>
    </row>
    <row r="266" spans="3:8" x14ac:dyDescent="0.4">
      <c r="C266" s="2"/>
      <c r="H266" s="2"/>
    </row>
    <row r="267" spans="3:8" x14ac:dyDescent="0.4">
      <c r="C267" s="2"/>
      <c r="H267" s="2"/>
    </row>
    <row r="268" spans="3:8" x14ac:dyDescent="0.4">
      <c r="C268" s="2"/>
      <c r="H268" s="2"/>
    </row>
    <row r="269" spans="3:8" x14ac:dyDescent="0.4">
      <c r="C269" s="2"/>
      <c r="H269" s="2"/>
    </row>
    <row r="270" spans="3:8" x14ac:dyDescent="0.4">
      <c r="C270" s="2"/>
      <c r="H270" s="2"/>
    </row>
    <row r="271" spans="3:8" x14ac:dyDescent="0.4">
      <c r="C271" s="2"/>
      <c r="H271" s="2"/>
    </row>
    <row r="272" spans="3:8" x14ac:dyDescent="0.4">
      <c r="C272" s="2"/>
      <c r="H272" s="2"/>
    </row>
    <row r="273" spans="3:8" x14ac:dyDescent="0.4">
      <c r="C273" s="2"/>
      <c r="H273" s="2"/>
    </row>
    <row r="274" spans="3:8" x14ac:dyDescent="0.4">
      <c r="C274" s="2"/>
      <c r="H274" s="2"/>
    </row>
    <row r="275" spans="3:8" x14ac:dyDescent="0.4">
      <c r="C275" s="2"/>
      <c r="H275" s="2"/>
    </row>
    <row r="276" spans="3:8" x14ac:dyDescent="0.4">
      <c r="C276" s="2"/>
      <c r="H276" s="2"/>
    </row>
    <row r="277" spans="3:8" x14ac:dyDescent="0.4">
      <c r="C277" s="2"/>
      <c r="H277" s="2"/>
    </row>
    <row r="278" spans="3:8" x14ac:dyDescent="0.4">
      <c r="C278" s="2"/>
      <c r="H278" s="2"/>
    </row>
    <row r="279" spans="3:8" x14ac:dyDescent="0.4">
      <c r="C279" s="2"/>
      <c r="H279" s="2"/>
    </row>
    <row r="280" spans="3:8" x14ac:dyDescent="0.4">
      <c r="C280" s="2"/>
      <c r="H280" s="2"/>
    </row>
    <row r="281" spans="3:8" x14ac:dyDescent="0.4">
      <c r="C281" s="2"/>
      <c r="H281" s="2"/>
    </row>
    <row r="282" spans="3:8" x14ac:dyDescent="0.4">
      <c r="C282" s="2"/>
      <c r="H282" s="2"/>
    </row>
    <row r="283" spans="3:8" x14ac:dyDescent="0.4">
      <c r="C283" s="2"/>
      <c r="H283" s="2"/>
    </row>
    <row r="284" spans="3:8" x14ac:dyDescent="0.4">
      <c r="C284" s="2"/>
      <c r="H284" s="2"/>
    </row>
    <row r="285" spans="3:8" x14ac:dyDescent="0.4">
      <c r="C285" s="2"/>
      <c r="H285" s="2"/>
    </row>
    <row r="286" spans="3:8" x14ac:dyDescent="0.4">
      <c r="C286" s="2"/>
      <c r="H286" s="2"/>
    </row>
    <row r="287" spans="3:8" x14ac:dyDescent="0.4">
      <c r="C287" s="2"/>
      <c r="H287" s="2"/>
    </row>
    <row r="288" spans="3:8" x14ac:dyDescent="0.4">
      <c r="C288" s="2"/>
      <c r="H288" s="2"/>
    </row>
    <row r="289" spans="3:8" x14ac:dyDescent="0.4">
      <c r="C289" s="2"/>
      <c r="H289" s="2"/>
    </row>
    <row r="290" spans="3:8" x14ac:dyDescent="0.4">
      <c r="C290" s="2"/>
      <c r="H290" s="2"/>
    </row>
    <row r="291" spans="3:8" x14ac:dyDescent="0.4">
      <c r="C291" s="2"/>
      <c r="H291" s="2"/>
    </row>
    <row r="292" spans="3:8" x14ac:dyDescent="0.4">
      <c r="C292" s="2"/>
      <c r="H292" s="2"/>
    </row>
    <row r="293" spans="3:8" x14ac:dyDescent="0.4">
      <c r="C293" s="2"/>
      <c r="H293" s="2"/>
    </row>
    <row r="294" spans="3:8" x14ac:dyDescent="0.4">
      <c r="C294" s="2"/>
      <c r="H294" s="2"/>
    </row>
    <row r="295" spans="3:8" x14ac:dyDescent="0.4">
      <c r="C295" s="2"/>
      <c r="H295" s="2"/>
    </row>
  </sheetData>
  <mergeCells count="2">
    <mergeCell ref="B35:E35"/>
    <mergeCell ref="B36:E36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45EA-779E-4D3A-9AFA-B929A86C7F72}">
  <sheetPr>
    <tabColor theme="8" tint="0.79998168889431442"/>
  </sheetPr>
  <dimension ref="B1:N296"/>
  <sheetViews>
    <sheetView workbookViewId="0">
      <selection activeCell="I15" sqref="I15"/>
    </sheetView>
  </sheetViews>
  <sheetFormatPr defaultRowHeight="18.75" x14ac:dyDescent="0.4"/>
  <cols>
    <col min="2" max="2" width="25.625" customWidth="1"/>
    <col min="5" max="5" width="16.75" style="1" customWidth="1"/>
    <col min="6" max="6" width="11.875" customWidth="1"/>
    <col min="7" max="7" width="11.25" customWidth="1"/>
    <col min="9" max="9" width="25.625" customWidth="1"/>
    <col min="12" max="12" width="16.75" style="1" customWidth="1"/>
    <col min="13" max="13" width="11.875" customWidth="1"/>
    <col min="14" max="14" width="11.25" customWidth="1"/>
  </cols>
  <sheetData>
    <row r="1" spans="2:14" x14ac:dyDescent="0.4">
      <c r="C1" s="79" t="s">
        <v>48</v>
      </c>
      <c r="D1" s="79"/>
      <c r="E1" s="1">
        <v>2.8E-3</v>
      </c>
    </row>
    <row r="2" spans="2:14" ht="19.5" thickBot="1" x14ac:dyDescent="0.45">
      <c r="C2" s="80" t="s">
        <v>49</v>
      </c>
      <c r="D2" s="80"/>
      <c r="E2" s="1">
        <v>6.3E-3</v>
      </c>
    </row>
    <row r="3" spans="2:14" x14ac:dyDescent="0.4">
      <c r="B3" s="4"/>
      <c r="C3" s="5" t="s">
        <v>4</v>
      </c>
      <c r="D3" s="5" t="s">
        <v>10</v>
      </c>
      <c r="E3" s="5" t="s">
        <v>32</v>
      </c>
      <c r="F3" s="13" t="s">
        <v>25</v>
      </c>
      <c r="G3" s="22" t="s">
        <v>33</v>
      </c>
      <c r="I3" s="4"/>
      <c r="J3" s="5" t="s">
        <v>4</v>
      </c>
      <c r="K3" s="5" t="s">
        <v>10</v>
      </c>
      <c r="L3" s="5" t="s">
        <v>32</v>
      </c>
      <c r="M3" s="13" t="s">
        <v>25</v>
      </c>
      <c r="N3" s="22" t="s">
        <v>33</v>
      </c>
    </row>
    <row r="4" spans="2:14" x14ac:dyDescent="0.4">
      <c r="B4" s="6" t="s">
        <v>0</v>
      </c>
      <c r="C4" s="3">
        <v>9.81</v>
      </c>
      <c r="D4" s="9"/>
      <c r="E4" s="11"/>
      <c r="F4" s="14">
        <v>9.81</v>
      </c>
      <c r="G4" s="23"/>
      <c r="I4" s="6" t="s">
        <v>0</v>
      </c>
      <c r="J4" s="3">
        <v>10.669</v>
      </c>
      <c r="K4" s="9"/>
      <c r="L4" s="11"/>
      <c r="M4" s="14"/>
      <c r="N4" s="23"/>
    </row>
    <row r="5" spans="2:14" x14ac:dyDescent="0.4">
      <c r="B5" s="6" t="s">
        <v>1</v>
      </c>
      <c r="C5" s="3">
        <v>9.8550000000000004</v>
      </c>
      <c r="D5" s="9">
        <v>10</v>
      </c>
      <c r="E5" s="11"/>
      <c r="F5" s="14">
        <f>$C$4+($E$1*D5)</f>
        <v>9.838000000000001</v>
      </c>
      <c r="G5" s="27">
        <f>F5-C5</f>
        <v>-1.699999999999946E-2</v>
      </c>
      <c r="I5" s="6" t="s">
        <v>1</v>
      </c>
      <c r="J5" s="3">
        <v>10.677</v>
      </c>
      <c r="K5" s="9">
        <v>10</v>
      </c>
      <c r="L5" s="11">
        <f>(J5-J4)/K5</f>
        <v>7.9999999999991189E-4</v>
      </c>
      <c r="M5" s="14"/>
      <c r="N5" s="23"/>
    </row>
    <row r="6" spans="2:14" x14ac:dyDescent="0.4">
      <c r="B6" s="6" t="s">
        <v>2</v>
      </c>
      <c r="C6" s="3">
        <v>9.9009999999999998</v>
      </c>
      <c r="D6" s="9">
        <v>20</v>
      </c>
      <c r="E6" s="11"/>
      <c r="F6" s="14">
        <f t="shared" ref="F6:F22" si="0">$C$4+($E$1*D6)</f>
        <v>9.8659999999999997</v>
      </c>
      <c r="G6" s="27">
        <f t="shared" ref="G6:G34" si="1">F6-C6</f>
        <v>-3.5000000000000142E-2</v>
      </c>
      <c r="I6" s="6" t="s">
        <v>41</v>
      </c>
      <c r="J6" s="3">
        <v>10.702</v>
      </c>
      <c r="K6" s="9">
        <v>5.0999999999999996</v>
      </c>
      <c r="L6" s="11">
        <f t="shared" ref="L6:L8" si="2">(J6-J5)/K6</f>
        <v>4.9019607843137957E-3</v>
      </c>
      <c r="M6" s="14"/>
      <c r="N6" s="23"/>
    </row>
    <row r="7" spans="2:14" x14ac:dyDescent="0.4">
      <c r="B7" s="6" t="s">
        <v>3</v>
      </c>
      <c r="C7" s="3">
        <v>9.9350000000000005</v>
      </c>
      <c r="D7" s="9">
        <v>30</v>
      </c>
      <c r="E7" s="11"/>
      <c r="F7" s="14">
        <f t="shared" si="0"/>
        <v>9.8940000000000001</v>
      </c>
      <c r="G7" s="27">
        <f t="shared" si="1"/>
        <v>-4.1000000000000369E-2</v>
      </c>
      <c r="I7" s="6" t="s">
        <v>2</v>
      </c>
      <c r="J7" s="3">
        <v>10.669</v>
      </c>
      <c r="K7" s="9">
        <v>4.9000000000000004</v>
      </c>
      <c r="L7" s="11">
        <f t="shared" si="2"/>
        <v>-6.7346938775509129E-3</v>
      </c>
      <c r="M7" s="14"/>
      <c r="N7" s="23"/>
    </row>
    <row r="8" spans="2:14" ht="19.5" thickBot="1" x14ac:dyDescent="0.45">
      <c r="B8" s="16" t="s">
        <v>34</v>
      </c>
      <c r="C8" s="3">
        <v>9.9450000000000003</v>
      </c>
      <c r="D8" s="9">
        <v>35.5</v>
      </c>
      <c r="E8" s="11"/>
      <c r="F8" s="14">
        <f t="shared" si="0"/>
        <v>9.9093999999999998</v>
      </c>
      <c r="G8" s="27">
        <f t="shared" si="1"/>
        <v>-3.560000000000052E-2</v>
      </c>
      <c r="I8" s="24" t="s">
        <v>42</v>
      </c>
      <c r="J8" s="7">
        <v>10.643000000000001</v>
      </c>
      <c r="K8" s="10">
        <v>7.2</v>
      </c>
      <c r="L8" s="12">
        <f t="shared" si="2"/>
        <v>-3.6111111111110832E-3</v>
      </c>
      <c r="M8" s="25"/>
      <c r="N8" s="26"/>
    </row>
    <row r="9" spans="2:14" x14ac:dyDescent="0.4">
      <c r="B9" s="6" t="s">
        <v>5</v>
      </c>
      <c r="C9" s="3">
        <v>9.9469999999999992</v>
      </c>
      <c r="D9" s="9">
        <v>40</v>
      </c>
      <c r="E9" s="11"/>
      <c r="F9" s="14">
        <f t="shared" si="0"/>
        <v>9.9220000000000006</v>
      </c>
      <c r="G9" s="27">
        <f t="shared" si="1"/>
        <v>-2.4999999999998579E-2</v>
      </c>
      <c r="J9" s="2"/>
      <c r="L9" s="17"/>
      <c r="M9" s="18"/>
      <c r="N9" s="19"/>
    </row>
    <row r="10" spans="2:14" ht="18.75" customHeight="1" x14ac:dyDescent="0.4">
      <c r="B10" s="6" t="s">
        <v>6</v>
      </c>
      <c r="C10" s="3">
        <v>9.9870000000000001</v>
      </c>
      <c r="D10" s="9">
        <v>50</v>
      </c>
      <c r="E10" s="11"/>
      <c r="F10" s="14">
        <f t="shared" si="0"/>
        <v>9.9500000000000011</v>
      </c>
      <c r="G10" s="27">
        <f t="shared" si="1"/>
        <v>-3.6999999999999034E-2</v>
      </c>
      <c r="J10" s="2"/>
      <c r="L10" s="17"/>
      <c r="M10" s="18"/>
      <c r="N10" s="19"/>
    </row>
    <row r="11" spans="2:14" x14ac:dyDescent="0.4">
      <c r="B11" s="6" t="s">
        <v>7</v>
      </c>
      <c r="C11" s="3">
        <v>10.026</v>
      </c>
      <c r="D11" s="9">
        <v>60</v>
      </c>
      <c r="E11" s="11"/>
      <c r="F11" s="14">
        <f t="shared" si="0"/>
        <v>9.9779999999999998</v>
      </c>
      <c r="G11" s="27">
        <f t="shared" si="1"/>
        <v>-4.8000000000000043E-2</v>
      </c>
      <c r="J11" s="2"/>
      <c r="L11" s="17"/>
      <c r="M11" s="18"/>
      <c r="N11" s="19"/>
    </row>
    <row r="12" spans="2:14" x14ac:dyDescent="0.4">
      <c r="B12" s="16" t="s">
        <v>35</v>
      </c>
      <c r="C12" s="3">
        <v>10.054</v>
      </c>
      <c r="D12" s="9">
        <v>63.2</v>
      </c>
      <c r="E12" s="11"/>
      <c r="F12" s="14">
        <f t="shared" si="0"/>
        <v>9.9869599999999998</v>
      </c>
      <c r="G12" s="27">
        <f t="shared" si="1"/>
        <v>-6.7040000000000433E-2</v>
      </c>
      <c r="J12" s="2"/>
      <c r="L12" s="17"/>
      <c r="M12" s="18"/>
      <c r="N12" s="19"/>
    </row>
    <row r="13" spans="2:14" x14ac:dyDescent="0.4">
      <c r="B13" s="6" t="s">
        <v>8</v>
      </c>
      <c r="C13" s="3">
        <v>10.045999999999999</v>
      </c>
      <c r="D13" s="9">
        <v>70</v>
      </c>
      <c r="E13" s="11"/>
      <c r="F13" s="14">
        <f t="shared" si="0"/>
        <v>10.006</v>
      </c>
      <c r="G13" s="27">
        <f t="shared" si="1"/>
        <v>-3.9999999999999147E-2</v>
      </c>
      <c r="J13" s="2"/>
      <c r="L13" s="17"/>
      <c r="M13" s="20"/>
      <c r="N13" s="19"/>
    </row>
    <row r="14" spans="2:14" x14ac:dyDescent="0.4">
      <c r="B14" s="6" t="s">
        <v>9</v>
      </c>
      <c r="C14" s="3">
        <v>10.048999999999999</v>
      </c>
      <c r="D14" s="9">
        <v>80</v>
      </c>
      <c r="E14" s="11"/>
      <c r="F14" s="14">
        <f t="shared" si="0"/>
        <v>10.034000000000001</v>
      </c>
      <c r="G14" s="27">
        <f t="shared" si="1"/>
        <v>-1.4999999999998792E-2</v>
      </c>
      <c r="J14" s="2"/>
      <c r="L14" s="17"/>
      <c r="M14" s="18"/>
      <c r="N14" s="19"/>
    </row>
    <row r="15" spans="2:14" x14ac:dyDescent="0.4">
      <c r="B15" s="6" t="s">
        <v>31</v>
      </c>
      <c r="C15" s="3">
        <v>10.068</v>
      </c>
      <c r="D15" s="9">
        <v>90</v>
      </c>
      <c r="E15" s="11"/>
      <c r="F15" s="14">
        <f t="shared" si="0"/>
        <v>10.062000000000001</v>
      </c>
      <c r="G15" s="27">
        <f t="shared" si="1"/>
        <v>-5.999999999998451E-3</v>
      </c>
      <c r="J15" s="2"/>
      <c r="L15" s="17"/>
      <c r="M15" s="18"/>
      <c r="N15" s="21"/>
    </row>
    <row r="16" spans="2:14" x14ac:dyDescent="0.4">
      <c r="B16" s="6" t="s">
        <v>11</v>
      </c>
      <c r="C16" s="3">
        <v>10.087999999999999</v>
      </c>
      <c r="D16" s="9">
        <v>100</v>
      </c>
      <c r="E16" s="11"/>
      <c r="F16" s="14">
        <f t="shared" si="0"/>
        <v>10.09</v>
      </c>
      <c r="G16" s="27">
        <f t="shared" si="1"/>
        <v>2.0000000000006679E-3</v>
      </c>
      <c r="J16" s="2"/>
      <c r="L16" s="17"/>
      <c r="M16" s="18"/>
      <c r="N16" s="21"/>
    </row>
    <row r="17" spans="2:14" x14ac:dyDescent="0.4">
      <c r="B17" s="6" t="s">
        <v>12</v>
      </c>
      <c r="C17" s="3">
        <v>10.089</v>
      </c>
      <c r="D17" s="9">
        <v>110</v>
      </c>
      <c r="E17" s="11"/>
      <c r="F17" s="14">
        <f t="shared" si="0"/>
        <v>10.118</v>
      </c>
      <c r="G17" s="27">
        <f t="shared" si="1"/>
        <v>2.8999999999999915E-2</v>
      </c>
      <c r="J17" s="2"/>
      <c r="L17" s="17"/>
      <c r="M17" s="18"/>
      <c r="N17" s="21"/>
    </row>
    <row r="18" spans="2:14" x14ac:dyDescent="0.4">
      <c r="B18" s="6" t="s">
        <v>13</v>
      </c>
      <c r="C18" s="3">
        <v>10.138</v>
      </c>
      <c r="D18" s="9">
        <v>120</v>
      </c>
      <c r="E18" s="11"/>
      <c r="F18" s="14">
        <f t="shared" si="0"/>
        <v>10.146000000000001</v>
      </c>
      <c r="G18" s="27">
        <f t="shared" si="1"/>
        <v>8.0000000000008953E-3</v>
      </c>
      <c r="J18" s="2"/>
      <c r="L18" s="17"/>
      <c r="M18" s="18"/>
      <c r="N18" s="21"/>
    </row>
    <row r="19" spans="2:14" x14ac:dyDescent="0.4">
      <c r="B19" s="16" t="s">
        <v>36</v>
      </c>
      <c r="C19" s="3">
        <v>10.153</v>
      </c>
      <c r="D19" s="9">
        <v>124.2</v>
      </c>
      <c r="E19" s="11"/>
      <c r="F19" s="14">
        <f t="shared" si="0"/>
        <v>10.15776</v>
      </c>
      <c r="G19" s="27">
        <f t="shared" si="1"/>
        <v>4.7599999999992093E-3</v>
      </c>
      <c r="J19" s="2"/>
      <c r="L19" s="17"/>
      <c r="M19" s="18"/>
      <c r="N19" s="21"/>
    </row>
    <row r="20" spans="2:14" x14ac:dyDescent="0.4">
      <c r="B20" s="6" t="s">
        <v>14</v>
      </c>
      <c r="C20" s="3">
        <v>10.154</v>
      </c>
      <c r="D20" s="9">
        <v>130</v>
      </c>
      <c r="E20" s="11"/>
      <c r="F20" s="14">
        <f t="shared" si="0"/>
        <v>10.174000000000001</v>
      </c>
      <c r="G20" s="27">
        <f t="shared" si="1"/>
        <v>2.000000000000135E-2</v>
      </c>
      <c r="J20" s="2"/>
      <c r="L20" s="17"/>
      <c r="M20" s="18"/>
      <c r="N20" s="21"/>
    </row>
    <row r="21" spans="2:14" x14ac:dyDescent="0.4">
      <c r="B21" s="6" t="s">
        <v>15</v>
      </c>
      <c r="C21" s="3">
        <v>10.192</v>
      </c>
      <c r="D21" s="9">
        <v>140</v>
      </c>
      <c r="E21" s="11"/>
      <c r="F21" s="14">
        <f t="shared" si="0"/>
        <v>10.202</v>
      </c>
      <c r="G21" s="27">
        <f t="shared" si="1"/>
        <v>9.9999999999997868E-3</v>
      </c>
      <c r="J21" s="2"/>
      <c r="L21" s="17"/>
      <c r="M21" s="18"/>
      <c r="N21" s="21"/>
    </row>
    <row r="22" spans="2:14" x14ac:dyDescent="0.4">
      <c r="B22" s="6" t="s">
        <v>16</v>
      </c>
      <c r="C22" s="3">
        <v>10.228</v>
      </c>
      <c r="D22" s="9">
        <v>150</v>
      </c>
      <c r="E22" s="11"/>
      <c r="F22" s="14">
        <f>$C$4+($E$1*D22)</f>
        <v>10.23</v>
      </c>
      <c r="G22" s="27">
        <f t="shared" si="1"/>
        <v>2.0000000000006679E-3</v>
      </c>
      <c r="J22" s="2"/>
      <c r="L22" s="17"/>
      <c r="M22" s="18"/>
      <c r="N22" s="21"/>
    </row>
    <row r="23" spans="2:14" x14ac:dyDescent="0.4">
      <c r="B23" s="6" t="s">
        <v>17</v>
      </c>
      <c r="C23" s="3">
        <v>10.298999999999999</v>
      </c>
      <c r="D23" s="9">
        <v>10</v>
      </c>
      <c r="E23" s="11"/>
      <c r="F23" s="14">
        <f>$C$22+($E$2*D23)</f>
        <v>10.291</v>
      </c>
      <c r="G23" s="27">
        <f t="shared" si="1"/>
        <v>-7.9999999999991189E-3</v>
      </c>
      <c r="J23" s="2"/>
      <c r="L23" s="17"/>
      <c r="M23" s="18"/>
      <c r="N23" s="21"/>
    </row>
    <row r="24" spans="2:14" x14ac:dyDescent="0.4">
      <c r="B24" s="6" t="s">
        <v>18</v>
      </c>
      <c r="C24" s="3">
        <v>10.364000000000001</v>
      </c>
      <c r="D24" s="9">
        <v>20</v>
      </c>
      <c r="E24" s="11"/>
      <c r="F24" s="14">
        <f t="shared" ref="F24:F33" si="3">$C$22+($E$2*D24)</f>
        <v>10.353999999999999</v>
      </c>
      <c r="G24" s="27">
        <f t="shared" si="1"/>
        <v>-1.0000000000001563E-2</v>
      </c>
      <c r="J24" s="2"/>
      <c r="L24" s="17"/>
      <c r="M24" s="18"/>
      <c r="N24" s="21"/>
    </row>
    <row r="25" spans="2:14" x14ac:dyDescent="0.4">
      <c r="B25" s="16" t="s">
        <v>37</v>
      </c>
      <c r="C25" s="3">
        <v>10.375999999999999</v>
      </c>
      <c r="D25" s="9">
        <v>22.4</v>
      </c>
      <c r="E25" s="11"/>
      <c r="F25" s="14">
        <f t="shared" si="3"/>
        <v>10.369120000000001</v>
      </c>
      <c r="G25" s="27">
        <f t="shared" si="1"/>
        <v>-6.879999999998887E-3</v>
      </c>
      <c r="J25" s="2"/>
      <c r="L25" s="17"/>
      <c r="M25" s="18"/>
      <c r="N25" s="21"/>
    </row>
    <row r="26" spans="2:14" x14ac:dyDescent="0.4">
      <c r="B26" s="6" t="s">
        <v>19</v>
      </c>
      <c r="C26" s="3">
        <v>10.414</v>
      </c>
      <c r="D26" s="9">
        <v>30</v>
      </c>
      <c r="E26" s="11"/>
      <c r="F26" s="14">
        <f t="shared" si="3"/>
        <v>10.417</v>
      </c>
      <c r="G26" s="27">
        <f t="shared" si="1"/>
        <v>3.0000000000001137E-3</v>
      </c>
      <c r="J26" s="2"/>
      <c r="L26" s="17"/>
      <c r="M26" s="18"/>
      <c r="N26" s="21"/>
    </row>
    <row r="27" spans="2:14" x14ac:dyDescent="0.4">
      <c r="B27" s="6" t="s">
        <v>20</v>
      </c>
      <c r="C27" s="3">
        <v>10.465</v>
      </c>
      <c r="D27" s="9">
        <v>40</v>
      </c>
      <c r="E27" s="11"/>
      <c r="F27" s="14">
        <f t="shared" si="3"/>
        <v>10.48</v>
      </c>
      <c r="G27" s="27">
        <f t="shared" si="1"/>
        <v>1.5000000000000568E-2</v>
      </c>
      <c r="J27" s="2"/>
      <c r="L27" s="17"/>
      <c r="M27" s="18"/>
      <c r="N27" s="21"/>
    </row>
    <row r="28" spans="2:14" x14ac:dyDescent="0.4">
      <c r="B28" s="6" t="s">
        <v>21</v>
      </c>
      <c r="C28" s="3">
        <v>10.544</v>
      </c>
      <c r="D28" s="9">
        <v>50</v>
      </c>
      <c r="E28" s="11"/>
      <c r="F28" s="14">
        <f t="shared" si="3"/>
        <v>10.542999999999999</v>
      </c>
      <c r="G28" s="27">
        <f t="shared" si="1"/>
        <v>-1.0000000000012221E-3</v>
      </c>
      <c r="J28" s="2"/>
      <c r="L28" s="17"/>
      <c r="M28" s="18"/>
      <c r="N28" s="21"/>
    </row>
    <row r="29" spans="2:14" x14ac:dyDescent="0.4">
      <c r="B29" s="16" t="s">
        <v>38</v>
      </c>
      <c r="C29" s="3">
        <v>10.589</v>
      </c>
      <c r="D29" s="9">
        <v>54.8</v>
      </c>
      <c r="E29" s="11"/>
      <c r="F29" s="14">
        <f t="shared" si="3"/>
        <v>10.57324</v>
      </c>
      <c r="G29" s="27">
        <f t="shared" si="1"/>
        <v>-1.5760000000000218E-2</v>
      </c>
      <c r="J29" s="2"/>
      <c r="L29" s="17"/>
      <c r="M29" s="18"/>
      <c r="N29" s="21"/>
    </row>
    <row r="30" spans="2:14" x14ac:dyDescent="0.4">
      <c r="B30" s="6" t="s">
        <v>22</v>
      </c>
      <c r="C30" s="3">
        <v>10.598000000000001</v>
      </c>
      <c r="D30" s="9">
        <v>60</v>
      </c>
      <c r="E30" s="11"/>
      <c r="F30" s="14">
        <f t="shared" si="3"/>
        <v>10.606</v>
      </c>
      <c r="G30" s="27">
        <f t="shared" si="1"/>
        <v>7.9999999999991189E-3</v>
      </c>
      <c r="J30" s="2"/>
      <c r="L30" s="17"/>
      <c r="M30" s="18"/>
      <c r="N30" s="21"/>
    </row>
    <row r="31" spans="2:14" x14ac:dyDescent="0.4">
      <c r="B31" s="6" t="s">
        <v>23</v>
      </c>
      <c r="C31" s="3">
        <v>10.669</v>
      </c>
      <c r="D31" s="9">
        <v>70</v>
      </c>
      <c r="E31" s="11"/>
      <c r="F31" s="14">
        <f t="shared" si="3"/>
        <v>10.669</v>
      </c>
      <c r="G31" s="27">
        <f t="shared" si="1"/>
        <v>0</v>
      </c>
      <c r="J31" s="2"/>
      <c r="L31" s="17"/>
      <c r="M31" s="18"/>
      <c r="N31" s="21"/>
    </row>
    <row r="32" spans="2:14" x14ac:dyDescent="0.4">
      <c r="B32" s="6" t="s">
        <v>39</v>
      </c>
      <c r="C32" s="3">
        <v>10.686</v>
      </c>
      <c r="D32" s="9">
        <v>74.2</v>
      </c>
      <c r="E32" s="11"/>
      <c r="F32" s="14">
        <f t="shared" si="3"/>
        <v>10.695460000000001</v>
      </c>
      <c r="G32" s="27">
        <f t="shared" si="1"/>
        <v>9.4600000000006901E-3</v>
      </c>
      <c r="J32" s="2"/>
      <c r="L32" s="17"/>
      <c r="M32" s="18"/>
      <c r="N32" s="21"/>
    </row>
    <row r="33" spans="2:14" x14ac:dyDescent="0.4">
      <c r="B33" s="6" t="s">
        <v>24</v>
      </c>
      <c r="C33" s="3">
        <v>10.734999999999999</v>
      </c>
      <c r="D33" s="9">
        <v>80</v>
      </c>
      <c r="E33" s="11"/>
      <c r="F33" s="14">
        <f t="shared" si="3"/>
        <v>10.731999999999999</v>
      </c>
      <c r="G33" s="27">
        <f t="shared" si="1"/>
        <v>-3.0000000000001137E-3</v>
      </c>
      <c r="J33" s="2"/>
      <c r="L33" s="17"/>
      <c r="M33" s="18"/>
      <c r="N33" s="21"/>
    </row>
    <row r="34" spans="2:14" ht="19.5" thickBot="1" x14ac:dyDescent="0.45">
      <c r="B34" s="24" t="s">
        <v>40</v>
      </c>
      <c r="C34" s="7">
        <v>10.693</v>
      </c>
      <c r="D34" s="10">
        <v>232.3</v>
      </c>
      <c r="E34" s="12"/>
      <c r="F34" s="15">
        <v>10.693</v>
      </c>
      <c r="G34" s="27">
        <f t="shared" si="1"/>
        <v>0</v>
      </c>
      <c r="J34" s="2"/>
      <c r="L34" s="17"/>
      <c r="M34" s="20"/>
      <c r="N34" s="21"/>
    </row>
    <row r="35" spans="2:14" x14ac:dyDescent="0.4">
      <c r="C35" s="2"/>
      <c r="F35" s="28"/>
      <c r="J35" s="2"/>
    </row>
    <row r="36" spans="2:14" x14ac:dyDescent="0.4">
      <c r="B36" s="32"/>
      <c r="C36" s="32"/>
      <c r="D36" s="32"/>
      <c r="E36" s="32"/>
      <c r="F36" s="78"/>
      <c r="G36" s="78"/>
      <c r="J36" s="2"/>
    </row>
    <row r="37" spans="2:14" x14ac:dyDescent="0.4">
      <c r="B37" s="32"/>
      <c r="C37" s="32"/>
      <c r="D37" s="32"/>
      <c r="E37" s="32"/>
      <c r="F37" s="78"/>
      <c r="G37" s="78"/>
      <c r="J37" s="2"/>
    </row>
    <row r="38" spans="2:14" x14ac:dyDescent="0.4">
      <c r="C38" s="2"/>
      <c r="J38" s="2"/>
    </row>
    <row r="39" spans="2:14" x14ac:dyDescent="0.4">
      <c r="C39" s="2"/>
      <c r="J39" s="2"/>
    </row>
    <row r="40" spans="2:14" x14ac:dyDescent="0.4">
      <c r="C40" s="2"/>
      <c r="J40" s="2"/>
    </row>
    <row r="41" spans="2:14" x14ac:dyDescent="0.4">
      <c r="C41" s="2"/>
      <c r="J41" s="2"/>
    </row>
    <row r="42" spans="2:14" x14ac:dyDescent="0.4">
      <c r="C42" s="2"/>
      <c r="J42" s="2"/>
    </row>
    <row r="43" spans="2:14" x14ac:dyDescent="0.4">
      <c r="C43" s="2"/>
      <c r="J43" s="2"/>
    </row>
    <row r="44" spans="2:14" x14ac:dyDescent="0.4">
      <c r="C44" s="2"/>
      <c r="J44" s="2"/>
    </row>
    <row r="45" spans="2:14" x14ac:dyDescent="0.4">
      <c r="C45" s="2"/>
      <c r="J45" s="2"/>
    </row>
    <row r="46" spans="2:14" x14ac:dyDescent="0.4">
      <c r="C46" s="2"/>
      <c r="J46" s="2"/>
    </row>
    <row r="47" spans="2:14" x14ac:dyDescent="0.4">
      <c r="C47" s="2"/>
      <c r="J47" s="2"/>
    </row>
    <row r="48" spans="2:14" x14ac:dyDescent="0.4">
      <c r="C48" s="2"/>
      <c r="J48" s="2"/>
    </row>
    <row r="49" spans="3:10" x14ac:dyDescent="0.4">
      <c r="C49" s="2"/>
      <c r="J49" s="2"/>
    </row>
    <row r="50" spans="3:10" x14ac:dyDescent="0.4">
      <c r="C50" s="2"/>
      <c r="J50" s="2"/>
    </row>
    <row r="51" spans="3:10" x14ac:dyDescent="0.4">
      <c r="C51" s="2"/>
      <c r="J51" s="2"/>
    </row>
    <row r="52" spans="3:10" x14ac:dyDescent="0.4">
      <c r="C52" s="2"/>
      <c r="J52" s="2"/>
    </row>
    <row r="53" spans="3:10" x14ac:dyDescent="0.4">
      <c r="C53" s="2"/>
      <c r="J53" s="2"/>
    </row>
    <row r="54" spans="3:10" x14ac:dyDescent="0.4">
      <c r="C54" s="2"/>
      <c r="J54" s="2"/>
    </row>
    <row r="55" spans="3:10" x14ac:dyDescent="0.4">
      <c r="C55" s="2"/>
      <c r="J55" s="2"/>
    </row>
    <row r="56" spans="3:10" x14ac:dyDescent="0.4">
      <c r="C56" s="2"/>
      <c r="J56" s="2"/>
    </row>
    <row r="57" spans="3:10" x14ac:dyDescent="0.4">
      <c r="C57" s="2"/>
      <c r="J57" s="2"/>
    </row>
    <row r="58" spans="3:10" x14ac:dyDescent="0.4">
      <c r="C58" s="2"/>
      <c r="J58" s="2"/>
    </row>
    <row r="59" spans="3:10" x14ac:dyDescent="0.4">
      <c r="C59" s="2"/>
      <c r="J59" s="2"/>
    </row>
    <row r="60" spans="3:10" x14ac:dyDescent="0.4">
      <c r="C60" s="2"/>
      <c r="J60" s="2"/>
    </row>
    <row r="61" spans="3:10" x14ac:dyDescent="0.4">
      <c r="C61" s="2"/>
      <c r="J61" s="2"/>
    </row>
    <row r="62" spans="3:10" x14ac:dyDescent="0.4">
      <c r="C62" s="2"/>
      <c r="J62" s="2"/>
    </row>
    <row r="63" spans="3:10" x14ac:dyDescent="0.4">
      <c r="C63" s="2"/>
      <c r="J63" s="2"/>
    </row>
    <row r="64" spans="3:10" x14ac:dyDescent="0.4">
      <c r="C64" s="2"/>
      <c r="J64" s="2"/>
    </row>
    <row r="65" spans="3:10" x14ac:dyDescent="0.4">
      <c r="C65" s="2"/>
      <c r="J65" s="2"/>
    </row>
    <row r="66" spans="3:10" x14ac:dyDescent="0.4">
      <c r="C66" s="2"/>
      <c r="J66" s="2"/>
    </row>
    <row r="67" spans="3:10" x14ac:dyDescent="0.4">
      <c r="C67" s="2"/>
      <c r="J67" s="2"/>
    </row>
    <row r="68" spans="3:10" x14ac:dyDescent="0.4">
      <c r="C68" s="2"/>
      <c r="J68" s="2"/>
    </row>
    <row r="69" spans="3:10" x14ac:dyDescent="0.4">
      <c r="C69" s="2"/>
      <c r="J69" s="2"/>
    </row>
    <row r="70" spans="3:10" x14ac:dyDescent="0.4">
      <c r="C70" s="2"/>
      <c r="J70" s="2"/>
    </row>
    <row r="71" spans="3:10" x14ac:dyDescent="0.4">
      <c r="C71" s="2"/>
      <c r="J71" s="2"/>
    </row>
    <row r="72" spans="3:10" x14ac:dyDescent="0.4">
      <c r="C72" s="2"/>
      <c r="J72" s="2"/>
    </row>
    <row r="73" spans="3:10" x14ac:dyDescent="0.4">
      <c r="C73" s="2"/>
      <c r="J73" s="2"/>
    </row>
    <row r="74" spans="3:10" x14ac:dyDescent="0.4">
      <c r="C74" s="2"/>
      <c r="J74" s="2"/>
    </row>
    <row r="75" spans="3:10" x14ac:dyDescent="0.4">
      <c r="C75" s="2"/>
      <c r="J75" s="2"/>
    </row>
    <row r="76" spans="3:10" x14ac:dyDescent="0.4">
      <c r="C76" s="2"/>
      <c r="J76" s="2"/>
    </row>
    <row r="77" spans="3:10" x14ac:dyDescent="0.4">
      <c r="C77" s="2"/>
      <c r="J77" s="2"/>
    </row>
    <row r="78" spans="3:10" x14ac:dyDescent="0.4">
      <c r="C78" s="2"/>
      <c r="J78" s="2"/>
    </row>
    <row r="79" spans="3:10" x14ac:dyDescent="0.4">
      <c r="C79" s="2"/>
      <c r="J79" s="2"/>
    </row>
    <row r="80" spans="3:10" x14ac:dyDescent="0.4">
      <c r="C80" s="2"/>
      <c r="J80" s="2"/>
    </row>
    <row r="81" spans="3:10" x14ac:dyDescent="0.4">
      <c r="C81" s="2"/>
      <c r="J81" s="2"/>
    </row>
    <row r="82" spans="3:10" x14ac:dyDescent="0.4">
      <c r="C82" s="2"/>
      <c r="J82" s="2"/>
    </row>
    <row r="83" spans="3:10" x14ac:dyDescent="0.4">
      <c r="C83" s="2"/>
      <c r="J83" s="2"/>
    </row>
    <row r="84" spans="3:10" x14ac:dyDescent="0.4">
      <c r="C84" s="2"/>
      <c r="J84" s="2"/>
    </row>
    <row r="85" spans="3:10" x14ac:dyDescent="0.4">
      <c r="C85" s="2"/>
      <c r="J85" s="2"/>
    </row>
    <row r="86" spans="3:10" x14ac:dyDescent="0.4">
      <c r="C86" s="2"/>
      <c r="J86" s="2"/>
    </row>
    <row r="87" spans="3:10" x14ac:dyDescent="0.4">
      <c r="C87" s="2"/>
      <c r="J87" s="2"/>
    </row>
    <row r="88" spans="3:10" x14ac:dyDescent="0.4">
      <c r="C88" s="2"/>
      <c r="J88" s="2"/>
    </row>
    <row r="89" spans="3:10" x14ac:dyDescent="0.4">
      <c r="C89" s="2"/>
      <c r="J89" s="2"/>
    </row>
    <row r="90" spans="3:10" x14ac:dyDescent="0.4">
      <c r="C90" s="2"/>
      <c r="J90" s="2"/>
    </row>
    <row r="91" spans="3:10" x14ac:dyDescent="0.4">
      <c r="C91" s="2"/>
      <c r="J91" s="2"/>
    </row>
    <row r="92" spans="3:10" x14ac:dyDescent="0.4">
      <c r="C92" s="2"/>
      <c r="J92" s="2"/>
    </row>
    <row r="93" spans="3:10" x14ac:dyDescent="0.4">
      <c r="C93" s="2"/>
      <c r="J93" s="2"/>
    </row>
    <row r="94" spans="3:10" x14ac:dyDescent="0.4">
      <c r="C94" s="2"/>
      <c r="J94" s="2"/>
    </row>
    <row r="95" spans="3:10" x14ac:dyDescent="0.4">
      <c r="C95" s="2"/>
      <c r="J95" s="2"/>
    </row>
    <row r="96" spans="3:10" x14ac:dyDescent="0.4">
      <c r="C96" s="2"/>
      <c r="J96" s="2"/>
    </row>
    <row r="97" spans="3:10" x14ac:dyDescent="0.4">
      <c r="C97" s="2"/>
      <c r="J97" s="2"/>
    </row>
    <row r="98" spans="3:10" x14ac:dyDescent="0.4">
      <c r="C98" s="2"/>
      <c r="J98" s="2"/>
    </row>
    <row r="99" spans="3:10" x14ac:dyDescent="0.4">
      <c r="C99" s="2"/>
      <c r="J99" s="2"/>
    </row>
    <row r="100" spans="3:10" x14ac:dyDescent="0.4">
      <c r="C100" s="2"/>
      <c r="J100" s="2"/>
    </row>
    <row r="101" spans="3:10" x14ac:dyDescent="0.4">
      <c r="C101" s="2"/>
      <c r="J101" s="2"/>
    </row>
    <row r="102" spans="3:10" x14ac:dyDescent="0.4">
      <c r="C102" s="2"/>
      <c r="J102" s="2"/>
    </row>
    <row r="103" spans="3:10" x14ac:dyDescent="0.4">
      <c r="C103" s="2"/>
      <c r="J103" s="2"/>
    </row>
    <row r="104" spans="3:10" x14ac:dyDescent="0.4">
      <c r="C104" s="2"/>
      <c r="J104" s="2"/>
    </row>
    <row r="105" spans="3:10" x14ac:dyDescent="0.4">
      <c r="C105" s="2"/>
      <c r="J105" s="2"/>
    </row>
    <row r="106" spans="3:10" x14ac:dyDescent="0.4">
      <c r="C106" s="2"/>
      <c r="J106" s="2"/>
    </row>
    <row r="107" spans="3:10" x14ac:dyDescent="0.4">
      <c r="C107" s="2"/>
      <c r="J107" s="2"/>
    </row>
    <row r="108" spans="3:10" x14ac:dyDescent="0.4">
      <c r="C108" s="2"/>
      <c r="J108" s="2"/>
    </row>
    <row r="109" spans="3:10" x14ac:dyDescent="0.4">
      <c r="C109" s="2"/>
      <c r="J109" s="2"/>
    </row>
    <row r="110" spans="3:10" x14ac:dyDescent="0.4">
      <c r="C110" s="2"/>
      <c r="J110" s="2"/>
    </row>
    <row r="111" spans="3:10" x14ac:dyDescent="0.4">
      <c r="C111" s="2"/>
      <c r="J111" s="2"/>
    </row>
    <row r="112" spans="3:10" x14ac:dyDescent="0.4">
      <c r="C112" s="2"/>
      <c r="J112" s="2"/>
    </row>
    <row r="113" spans="3:10" x14ac:dyDescent="0.4">
      <c r="C113" s="2"/>
      <c r="J113" s="2"/>
    </row>
    <row r="114" spans="3:10" x14ac:dyDescent="0.4">
      <c r="C114" s="2"/>
      <c r="J114" s="2"/>
    </row>
    <row r="115" spans="3:10" x14ac:dyDescent="0.4">
      <c r="C115" s="2"/>
      <c r="J115" s="2"/>
    </row>
    <row r="116" spans="3:10" x14ac:dyDescent="0.4">
      <c r="C116" s="2"/>
      <c r="J116" s="2"/>
    </row>
    <row r="117" spans="3:10" x14ac:dyDescent="0.4">
      <c r="C117" s="2"/>
      <c r="J117" s="2"/>
    </row>
    <row r="118" spans="3:10" x14ac:dyDescent="0.4">
      <c r="C118" s="2"/>
      <c r="J118" s="2"/>
    </row>
    <row r="119" spans="3:10" x14ac:dyDescent="0.4">
      <c r="C119" s="2"/>
      <c r="J119" s="2"/>
    </row>
    <row r="120" spans="3:10" x14ac:dyDescent="0.4">
      <c r="C120" s="2"/>
      <c r="J120" s="2"/>
    </row>
    <row r="121" spans="3:10" x14ac:dyDescent="0.4">
      <c r="C121" s="2"/>
      <c r="J121" s="2"/>
    </row>
    <row r="122" spans="3:10" x14ac:dyDescent="0.4">
      <c r="C122" s="2"/>
      <c r="J122" s="2"/>
    </row>
    <row r="123" spans="3:10" x14ac:dyDescent="0.4">
      <c r="C123" s="2"/>
      <c r="J123" s="2"/>
    </row>
    <row r="124" spans="3:10" x14ac:dyDescent="0.4">
      <c r="C124" s="2"/>
      <c r="J124" s="2"/>
    </row>
    <row r="125" spans="3:10" x14ac:dyDescent="0.4">
      <c r="C125" s="2"/>
      <c r="J125" s="2"/>
    </row>
    <row r="126" spans="3:10" x14ac:dyDescent="0.4">
      <c r="C126" s="2"/>
      <c r="J126" s="2"/>
    </row>
    <row r="127" spans="3:10" x14ac:dyDescent="0.4">
      <c r="C127" s="2"/>
      <c r="J127" s="2"/>
    </row>
    <row r="128" spans="3:10" x14ac:dyDescent="0.4">
      <c r="C128" s="2"/>
      <c r="J128" s="2"/>
    </row>
    <row r="129" spans="3:10" x14ac:dyDescent="0.4">
      <c r="C129" s="2"/>
      <c r="J129" s="2"/>
    </row>
    <row r="130" spans="3:10" x14ac:dyDescent="0.4">
      <c r="C130" s="2"/>
      <c r="J130" s="2"/>
    </row>
    <row r="131" spans="3:10" x14ac:dyDescent="0.4">
      <c r="C131" s="2"/>
      <c r="J131" s="2"/>
    </row>
    <row r="132" spans="3:10" x14ac:dyDescent="0.4">
      <c r="C132" s="2"/>
      <c r="J132" s="2"/>
    </row>
    <row r="133" spans="3:10" x14ac:dyDescent="0.4">
      <c r="C133" s="2"/>
      <c r="J133" s="2"/>
    </row>
    <row r="134" spans="3:10" x14ac:dyDescent="0.4">
      <c r="C134" s="2"/>
      <c r="J134" s="2"/>
    </row>
    <row r="135" spans="3:10" x14ac:dyDescent="0.4">
      <c r="C135" s="2"/>
      <c r="J135" s="2"/>
    </row>
    <row r="136" spans="3:10" x14ac:dyDescent="0.4">
      <c r="C136" s="2"/>
      <c r="J136" s="2"/>
    </row>
    <row r="137" spans="3:10" x14ac:dyDescent="0.4">
      <c r="C137" s="2"/>
      <c r="J137" s="2"/>
    </row>
    <row r="138" spans="3:10" x14ac:dyDescent="0.4">
      <c r="C138" s="2"/>
      <c r="J138" s="2"/>
    </row>
    <row r="139" spans="3:10" x14ac:dyDescent="0.4">
      <c r="C139" s="2"/>
      <c r="J139" s="2"/>
    </row>
    <row r="140" spans="3:10" x14ac:dyDescent="0.4">
      <c r="C140" s="2"/>
      <c r="J140" s="2"/>
    </row>
    <row r="141" spans="3:10" x14ac:dyDescent="0.4">
      <c r="C141" s="2"/>
      <c r="J141" s="2"/>
    </row>
    <row r="142" spans="3:10" x14ac:dyDescent="0.4">
      <c r="C142" s="2"/>
      <c r="J142" s="2"/>
    </row>
    <row r="143" spans="3:10" x14ac:dyDescent="0.4">
      <c r="C143" s="2"/>
      <c r="J143" s="2"/>
    </row>
    <row r="144" spans="3:10" x14ac:dyDescent="0.4">
      <c r="C144" s="2"/>
      <c r="J144" s="2"/>
    </row>
    <row r="145" spans="3:10" x14ac:dyDescent="0.4">
      <c r="C145" s="2"/>
      <c r="J145" s="2"/>
    </row>
    <row r="146" spans="3:10" x14ac:dyDescent="0.4">
      <c r="C146" s="2"/>
      <c r="J146" s="2"/>
    </row>
    <row r="147" spans="3:10" x14ac:dyDescent="0.4">
      <c r="C147" s="2"/>
      <c r="J147" s="2"/>
    </row>
    <row r="148" spans="3:10" x14ac:dyDescent="0.4">
      <c r="C148" s="2"/>
      <c r="J148" s="2"/>
    </row>
    <row r="149" spans="3:10" x14ac:dyDescent="0.4">
      <c r="C149" s="2"/>
      <c r="J149" s="2"/>
    </row>
    <row r="150" spans="3:10" x14ac:dyDescent="0.4">
      <c r="C150" s="2"/>
      <c r="J150" s="2"/>
    </row>
    <row r="151" spans="3:10" x14ac:dyDescent="0.4">
      <c r="C151" s="2"/>
      <c r="J151" s="2"/>
    </row>
    <row r="152" spans="3:10" x14ac:dyDescent="0.4">
      <c r="C152" s="2"/>
      <c r="J152" s="2"/>
    </row>
    <row r="153" spans="3:10" x14ac:dyDescent="0.4">
      <c r="C153" s="2"/>
      <c r="J153" s="2"/>
    </row>
    <row r="154" spans="3:10" x14ac:dyDescent="0.4">
      <c r="C154" s="2"/>
      <c r="J154" s="2"/>
    </row>
    <row r="155" spans="3:10" x14ac:dyDescent="0.4">
      <c r="C155" s="2"/>
      <c r="J155" s="2"/>
    </row>
    <row r="156" spans="3:10" x14ac:dyDescent="0.4">
      <c r="C156" s="2"/>
      <c r="J156" s="2"/>
    </row>
    <row r="157" spans="3:10" x14ac:dyDescent="0.4">
      <c r="C157" s="2"/>
      <c r="J157" s="2"/>
    </row>
    <row r="158" spans="3:10" x14ac:dyDescent="0.4">
      <c r="C158" s="2"/>
      <c r="J158" s="2"/>
    </row>
    <row r="159" spans="3:10" x14ac:dyDescent="0.4">
      <c r="C159" s="2"/>
      <c r="J159" s="2"/>
    </row>
    <row r="160" spans="3:10" x14ac:dyDescent="0.4">
      <c r="C160" s="2"/>
      <c r="J160" s="2"/>
    </row>
    <row r="161" spans="3:10" x14ac:dyDescent="0.4">
      <c r="C161" s="2"/>
      <c r="J161" s="2"/>
    </row>
    <row r="162" spans="3:10" x14ac:dyDescent="0.4">
      <c r="C162" s="2"/>
      <c r="J162" s="2"/>
    </row>
    <row r="163" spans="3:10" x14ac:dyDescent="0.4">
      <c r="C163" s="2"/>
      <c r="J163" s="2"/>
    </row>
    <row r="164" spans="3:10" x14ac:dyDescent="0.4">
      <c r="C164" s="2"/>
      <c r="J164" s="2"/>
    </row>
    <row r="165" spans="3:10" x14ac:dyDescent="0.4">
      <c r="C165" s="2"/>
      <c r="J165" s="2"/>
    </row>
    <row r="166" spans="3:10" x14ac:dyDescent="0.4">
      <c r="C166" s="2"/>
      <c r="J166" s="2"/>
    </row>
    <row r="167" spans="3:10" x14ac:dyDescent="0.4">
      <c r="C167" s="2"/>
      <c r="J167" s="2"/>
    </row>
    <row r="168" spans="3:10" x14ac:dyDescent="0.4">
      <c r="C168" s="2"/>
      <c r="J168" s="2"/>
    </row>
    <row r="169" spans="3:10" x14ac:dyDescent="0.4">
      <c r="C169" s="2"/>
      <c r="J169" s="2"/>
    </row>
    <row r="170" spans="3:10" x14ac:dyDescent="0.4">
      <c r="C170" s="2"/>
      <c r="J170" s="2"/>
    </row>
    <row r="171" spans="3:10" x14ac:dyDescent="0.4">
      <c r="C171" s="2"/>
      <c r="J171" s="2"/>
    </row>
    <row r="172" spans="3:10" x14ac:dyDescent="0.4">
      <c r="C172" s="2"/>
      <c r="J172" s="2"/>
    </row>
    <row r="173" spans="3:10" x14ac:dyDescent="0.4">
      <c r="C173" s="2"/>
      <c r="J173" s="2"/>
    </row>
    <row r="174" spans="3:10" x14ac:dyDescent="0.4">
      <c r="C174" s="2"/>
      <c r="J174" s="2"/>
    </row>
    <row r="175" spans="3:10" x14ac:dyDescent="0.4">
      <c r="C175" s="2"/>
      <c r="J175" s="2"/>
    </row>
    <row r="176" spans="3:10" x14ac:dyDescent="0.4">
      <c r="C176" s="2"/>
      <c r="J176" s="2"/>
    </row>
    <row r="177" spans="3:10" x14ac:dyDescent="0.4">
      <c r="C177" s="2"/>
      <c r="J177" s="2"/>
    </row>
    <row r="178" spans="3:10" x14ac:dyDescent="0.4">
      <c r="C178" s="2"/>
      <c r="J178" s="2"/>
    </row>
    <row r="179" spans="3:10" x14ac:dyDescent="0.4">
      <c r="C179" s="2"/>
      <c r="J179" s="2"/>
    </row>
    <row r="180" spans="3:10" x14ac:dyDescent="0.4">
      <c r="C180" s="2"/>
      <c r="J180" s="2"/>
    </row>
    <row r="181" spans="3:10" x14ac:dyDescent="0.4">
      <c r="C181" s="2"/>
      <c r="J181" s="2"/>
    </row>
    <row r="182" spans="3:10" x14ac:dyDescent="0.4">
      <c r="C182" s="2"/>
      <c r="J182" s="2"/>
    </row>
    <row r="183" spans="3:10" x14ac:dyDescent="0.4">
      <c r="C183" s="2"/>
      <c r="J183" s="2"/>
    </row>
    <row r="184" spans="3:10" x14ac:dyDescent="0.4">
      <c r="C184" s="2"/>
      <c r="J184" s="2"/>
    </row>
    <row r="185" spans="3:10" x14ac:dyDescent="0.4">
      <c r="C185" s="2"/>
      <c r="J185" s="2"/>
    </row>
    <row r="186" spans="3:10" x14ac:dyDescent="0.4">
      <c r="C186" s="2"/>
      <c r="J186" s="2"/>
    </row>
    <row r="187" spans="3:10" x14ac:dyDescent="0.4">
      <c r="C187" s="2"/>
      <c r="J187" s="2"/>
    </row>
    <row r="188" spans="3:10" x14ac:dyDescent="0.4">
      <c r="C188" s="2"/>
      <c r="J188" s="2"/>
    </row>
    <row r="189" spans="3:10" x14ac:dyDescent="0.4">
      <c r="C189" s="2"/>
      <c r="J189" s="2"/>
    </row>
    <row r="190" spans="3:10" x14ac:dyDescent="0.4">
      <c r="C190" s="2"/>
      <c r="J190" s="2"/>
    </row>
    <row r="191" spans="3:10" x14ac:dyDescent="0.4">
      <c r="C191" s="2"/>
      <c r="J191" s="2"/>
    </row>
    <row r="192" spans="3:10" x14ac:dyDescent="0.4">
      <c r="C192" s="2"/>
      <c r="J192" s="2"/>
    </row>
    <row r="193" spans="3:10" x14ac:dyDescent="0.4">
      <c r="C193" s="2"/>
      <c r="J193" s="2"/>
    </row>
    <row r="194" spans="3:10" x14ac:dyDescent="0.4">
      <c r="C194" s="2"/>
      <c r="J194" s="2"/>
    </row>
    <row r="195" spans="3:10" x14ac:dyDescent="0.4">
      <c r="C195" s="2"/>
      <c r="J195" s="2"/>
    </row>
    <row r="196" spans="3:10" x14ac:dyDescent="0.4">
      <c r="C196" s="2"/>
      <c r="J196" s="2"/>
    </row>
    <row r="197" spans="3:10" x14ac:dyDescent="0.4">
      <c r="C197" s="2"/>
      <c r="J197" s="2"/>
    </row>
    <row r="198" spans="3:10" x14ac:dyDescent="0.4">
      <c r="C198" s="2"/>
      <c r="J198" s="2"/>
    </row>
    <row r="199" spans="3:10" x14ac:dyDescent="0.4">
      <c r="C199" s="2"/>
      <c r="J199" s="2"/>
    </row>
    <row r="200" spans="3:10" x14ac:dyDescent="0.4">
      <c r="C200" s="2"/>
      <c r="J200" s="2"/>
    </row>
    <row r="201" spans="3:10" x14ac:dyDescent="0.4">
      <c r="C201" s="2"/>
      <c r="J201" s="2"/>
    </row>
    <row r="202" spans="3:10" x14ac:dyDescent="0.4">
      <c r="C202" s="2"/>
      <c r="J202" s="2"/>
    </row>
    <row r="203" spans="3:10" x14ac:dyDescent="0.4">
      <c r="C203" s="2"/>
      <c r="J203" s="2"/>
    </row>
    <row r="204" spans="3:10" x14ac:dyDescent="0.4">
      <c r="C204" s="2"/>
      <c r="J204" s="2"/>
    </row>
    <row r="205" spans="3:10" x14ac:dyDescent="0.4">
      <c r="C205" s="2"/>
      <c r="J205" s="2"/>
    </row>
    <row r="206" spans="3:10" x14ac:dyDescent="0.4">
      <c r="C206" s="2"/>
      <c r="J206" s="2"/>
    </row>
    <row r="207" spans="3:10" x14ac:dyDescent="0.4">
      <c r="C207" s="2"/>
      <c r="J207" s="2"/>
    </row>
    <row r="208" spans="3:10" x14ac:dyDescent="0.4">
      <c r="C208" s="2"/>
      <c r="J208" s="2"/>
    </row>
    <row r="209" spans="3:10" x14ac:dyDescent="0.4">
      <c r="C209" s="2"/>
      <c r="J209" s="2"/>
    </row>
    <row r="210" spans="3:10" x14ac:dyDescent="0.4">
      <c r="C210" s="2"/>
      <c r="J210" s="2"/>
    </row>
    <row r="211" spans="3:10" x14ac:dyDescent="0.4">
      <c r="C211" s="2"/>
      <c r="J211" s="2"/>
    </row>
    <row r="212" spans="3:10" x14ac:dyDescent="0.4">
      <c r="C212" s="2"/>
      <c r="J212" s="2"/>
    </row>
    <row r="213" spans="3:10" x14ac:dyDescent="0.4">
      <c r="C213" s="2"/>
      <c r="J213" s="2"/>
    </row>
    <row r="214" spans="3:10" x14ac:dyDescent="0.4">
      <c r="C214" s="2"/>
      <c r="J214" s="2"/>
    </row>
    <row r="215" spans="3:10" x14ac:dyDescent="0.4">
      <c r="C215" s="2"/>
      <c r="J215" s="2"/>
    </row>
    <row r="216" spans="3:10" x14ac:dyDescent="0.4">
      <c r="C216" s="2"/>
      <c r="J216" s="2"/>
    </row>
    <row r="217" spans="3:10" x14ac:dyDescent="0.4">
      <c r="C217" s="2"/>
      <c r="J217" s="2"/>
    </row>
    <row r="218" spans="3:10" x14ac:dyDescent="0.4">
      <c r="C218" s="2"/>
      <c r="J218" s="2"/>
    </row>
    <row r="219" spans="3:10" x14ac:dyDescent="0.4">
      <c r="C219" s="2"/>
      <c r="J219" s="2"/>
    </row>
    <row r="220" spans="3:10" x14ac:dyDescent="0.4">
      <c r="C220" s="2"/>
      <c r="J220" s="2"/>
    </row>
    <row r="221" spans="3:10" x14ac:dyDescent="0.4">
      <c r="C221" s="2"/>
      <c r="J221" s="2"/>
    </row>
    <row r="222" spans="3:10" x14ac:dyDescent="0.4">
      <c r="C222" s="2"/>
      <c r="J222" s="2"/>
    </row>
    <row r="223" spans="3:10" x14ac:dyDescent="0.4">
      <c r="C223" s="2"/>
      <c r="J223" s="2"/>
    </row>
    <row r="224" spans="3:10" x14ac:dyDescent="0.4">
      <c r="C224" s="2"/>
      <c r="J224" s="2"/>
    </row>
    <row r="225" spans="3:10" x14ac:dyDescent="0.4">
      <c r="C225" s="2"/>
      <c r="J225" s="2"/>
    </row>
    <row r="226" spans="3:10" x14ac:dyDescent="0.4">
      <c r="C226" s="2"/>
      <c r="J226" s="2"/>
    </row>
    <row r="227" spans="3:10" x14ac:dyDescent="0.4">
      <c r="C227" s="2"/>
      <c r="J227" s="2"/>
    </row>
    <row r="228" spans="3:10" x14ac:dyDescent="0.4">
      <c r="C228" s="2"/>
      <c r="J228" s="2"/>
    </row>
    <row r="229" spans="3:10" x14ac:dyDescent="0.4">
      <c r="C229" s="2"/>
      <c r="J229" s="2"/>
    </row>
    <row r="230" spans="3:10" x14ac:dyDescent="0.4">
      <c r="C230" s="2"/>
      <c r="J230" s="2"/>
    </row>
    <row r="231" spans="3:10" x14ac:dyDescent="0.4">
      <c r="C231" s="2"/>
      <c r="J231" s="2"/>
    </row>
    <row r="232" spans="3:10" x14ac:dyDescent="0.4">
      <c r="C232" s="2"/>
      <c r="J232" s="2"/>
    </row>
    <row r="233" spans="3:10" x14ac:dyDescent="0.4">
      <c r="C233" s="2"/>
      <c r="J233" s="2"/>
    </row>
    <row r="234" spans="3:10" x14ac:dyDescent="0.4">
      <c r="C234" s="2"/>
      <c r="J234" s="2"/>
    </row>
    <row r="235" spans="3:10" x14ac:dyDescent="0.4">
      <c r="C235" s="2"/>
      <c r="J235" s="2"/>
    </row>
    <row r="236" spans="3:10" x14ac:dyDescent="0.4">
      <c r="C236" s="2"/>
      <c r="J236" s="2"/>
    </row>
    <row r="237" spans="3:10" x14ac:dyDescent="0.4">
      <c r="C237" s="2"/>
      <c r="J237" s="2"/>
    </row>
    <row r="238" spans="3:10" x14ac:dyDescent="0.4">
      <c r="C238" s="2"/>
      <c r="J238" s="2"/>
    </row>
    <row r="239" spans="3:10" x14ac:dyDescent="0.4">
      <c r="C239" s="2"/>
      <c r="J239" s="2"/>
    </row>
    <row r="240" spans="3:10" x14ac:dyDescent="0.4">
      <c r="C240" s="2"/>
      <c r="J240" s="2"/>
    </row>
    <row r="241" spans="3:10" x14ac:dyDescent="0.4">
      <c r="C241" s="2"/>
      <c r="J241" s="2"/>
    </row>
    <row r="242" spans="3:10" x14ac:dyDescent="0.4">
      <c r="C242" s="2"/>
      <c r="J242" s="2"/>
    </row>
    <row r="243" spans="3:10" x14ac:dyDescent="0.4">
      <c r="C243" s="2"/>
      <c r="J243" s="2"/>
    </row>
    <row r="244" spans="3:10" x14ac:dyDescent="0.4">
      <c r="C244" s="2"/>
      <c r="J244" s="2"/>
    </row>
    <row r="245" spans="3:10" x14ac:dyDescent="0.4">
      <c r="C245" s="2"/>
      <c r="J245" s="2"/>
    </row>
    <row r="246" spans="3:10" x14ac:dyDescent="0.4">
      <c r="C246" s="2"/>
      <c r="J246" s="2"/>
    </row>
    <row r="247" spans="3:10" x14ac:dyDescent="0.4">
      <c r="C247" s="2"/>
      <c r="J247" s="2"/>
    </row>
    <row r="248" spans="3:10" x14ac:dyDescent="0.4">
      <c r="C248" s="2"/>
      <c r="J248" s="2"/>
    </row>
    <row r="249" spans="3:10" x14ac:dyDescent="0.4">
      <c r="C249" s="2"/>
      <c r="J249" s="2"/>
    </row>
    <row r="250" spans="3:10" x14ac:dyDescent="0.4">
      <c r="C250" s="2"/>
      <c r="J250" s="2"/>
    </row>
    <row r="251" spans="3:10" x14ac:dyDescent="0.4">
      <c r="C251" s="2"/>
      <c r="J251" s="2"/>
    </row>
    <row r="252" spans="3:10" x14ac:dyDescent="0.4">
      <c r="C252" s="2"/>
      <c r="J252" s="2"/>
    </row>
    <row r="253" spans="3:10" x14ac:dyDescent="0.4">
      <c r="C253" s="2"/>
      <c r="J253" s="2"/>
    </row>
    <row r="254" spans="3:10" x14ac:dyDescent="0.4">
      <c r="C254" s="2"/>
      <c r="J254" s="2"/>
    </row>
    <row r="255" spans="3:10" x14ac:dyDescent="0.4">
      <c r="C255" s="2"/>
      <c r="J255" s="2"/>
    </row>
    <row r="256" spans="3:10" x14ac:dyDescent="0.4">
      <c r="C256" s="2"/>
      <c r="J256" s="2"/>
    </row>
    <row r="257" spans="3:10" x14ac:dyDescent="0.4">
      <c r="C257" s="2"/>
      <c r="J257" s="2"/>
    </row>
    <row r="258" spans="3:10" x14ac:dyDescent="0.4">
      <c r="C258" s="2"/>
      <c r="J258" s="2"/>
    </row>
    <row r="259" spans="3:10" x14ac:dyDescent="0.4">
      <c r="C259" s="2"/>
      <c r="J259" s="2"/>
    </row>
    <row r="260" spans="3:10" x14ac:dyDescent="0.4">
      <c r="C260" s="2"/>
      <c r="J260" s="2"/>
    </row>
    <row r="261" spans="3:10" x14ac:dyDescent="0.4">
      <c r="C261" s="2"/>
      <c r="J261" s="2"/>
    </row>
    <row r="262" spans="3:10" x14ac:dyDescent="0.4">
      <c r="C262" s="2"/>
      <c r="J262" s="2"/>
    </row>
    <row r="263" spans="3:10" x14ac:dyDescent="0.4">
      <c r="C263" s="2"/>
      <c r="J263" s="2"/>
    </row>
    <row r="264" spans="3:10" x14ac:dyDescent="0.4">
      <c r="C264" s="2"/>
      <c r="J264" s="2"/>
    </row>
    <row r="265" spans="3:10" x14ac:dyDescent="0.4">
      <c r="C265" s="2"/>
      <c r="J265" s="2"/>
    </row>
    <row r="266" spans="3:10" x14ac:dyDescent="0.4">
      <c r="C266" s="2"/>
      <c r="J266" s="2"/>
    </row>
    <row r="267" spans="3:10" x14ac:dyDescent="0.4">
      <c r="C267" s="2"/>
      <c r="J267" s="2"/>
    </row>
    <row r="268" spans="3:10" x14ac:dyDescent="0.4">
      <c r="C268" s="2"/>
      <c r="J268" s="2"/>
    </row>
    <row r="269" spans="3:10" x14ac:dyDescent="0.4">
      <c r="C269" s="2"/>
      <c r="J269" s="2"/>
    </row>
    <row r="270" spans="3:10" x14ac:dyDescent="0.4">
      <c r="C270" s="2"/>
      <c r="J270" s="2"/>
    </row>
    <row r="271" spans="3:10" x14ac:dyDescent="0.4">
      <c r="C271" s="2"/>
      <c r="J271" s="2"/>
    </row>
    <row r="272" spans="3:10" x14ac:dyDescent="0.4">
      <c r="C272" s="2"/>
      <c r="J272" s="2"/>
    </row>
    <row r="273" spans="3:10" x14ac:dyDescent="0.4">
      <c r="C273" s="2"/>
      <c r="J273" s="2"/>
    </row>
    <row r="274" spans="3:10" x14ac:dyDescent="0.4">
      <c r="C274" s="2"/>
      <c r="J274" s="2"/>
    </row>
    <row r="275" spans="3:10" x14ac:dyDescent="0.4">
      <c r="C275" s="2"/>
      <c r="J275" s="2"/>
    </row>
    <row r="276" spans="3:10" x14ac:dyDescent="0.4">
      <c r="C276" s="2"/>
      <c r="J276" s="2"/>
    </row>
    <row r="277" spans="3:10" x14ac:dyDescent="0.4">
      <c r="C277" s="2"/>
      <c r="J277" s="2"/>
    </row>
    <row r="278" spans="3:10" x14ac:dyDescent="0.4">
      <c r="C278" s="2"/>
      <c r="J278" s="2"/>
    </row>
    <row r="279" spans="3:10" x14ac:dyDescent="0.4">
      <c r="C279" s="2"/>
      <c r="J279" s="2"/>
    </row>
    <row r="280" spans="3:10" x14ac:dyDescent="0.4">
      <c r="C280" s="2"/>
      <c r="J280" s="2"/>
    </row>
    <row r="281" spans="3:10" x14ac:dyDescent="0.4">
      <c r="C281" s="2"/>
      <c r="J281" s="2"/>
    </row>
    <row r="282" spans="3:10" x14ac:dyDescent="0.4">
      <c r="C282" s="2"/>
      <c r="J282" s="2"/>
    </row>
    <row r="283" spans="3:10" x14ac:dyDescent="0.4">
      <c r="C283" s="2"/>
      <c r="J283" s="2"/>
    </row>
    <row r="284" spans="3:10" x14ac:dyDescent="0.4">
      <c r="C284" s="2"/>
      <c r="J284" s="2"/>
    </row>
    <row r="285" spans="3:10" x14ac:dyDescent="0.4">
      <c r="C285" s="2"/>
      <c r="J285" s="2"/>
    </row>
    <row r="286" spans="3:10" x14ac:dyDescent="0.4">
      <c r="C286" s="2"/>
      <c r="J286" s="2"/>
    </row>
    <row r="287" spans="3:10" x14ac:dyDescent="0.4">
      <c r="C287" s="2"/>
      <c r="J287" s="2"/>
    </row>
    <row r="288" spans="3:10" x14ac:dyDescent="0.4">
      <c r="C288" s="2"/>
      <c r="J288" s="2"/>
    </row>
    <row r="289" spans="3:10" x14ac:dyDescent="0.4">
      <c r="C289" s="2"/>
      <c r="J289" s="2"/>
    </row>
    <row r="290" spans="3:10" x14ac:dyDescent="0.4">
      <c r="C290" s="2"/>
      <c r="J290" s="2"/>
    </row>
    <row r="291" spans="3:10" x14ac:dyDescent="0.4">
      <c r="C291" s="2"/>
      <c r="J291" s="2"/>
    </row>
    <row r="292" spans="3:10" x14ac:dyDescent="0.4">
      <c r="C292" s="2"/>
      <c r="J292" s="2"/>
    </row>
    <row r="293" spans="3:10" x14ac:dyDescent="0.4">
      <c r="C293" s="2"/>
      <c r="J293" s="2"/>
    </row>
    <row r="294" spans="3:10" x14ac:dyDescent="0.4">
      <c r="C294" s="2"/>
      <c r="J294" s="2"/>
    </row>
    <row r="295" spans="3:10" x14ac:dyDescent="0.4">
      <c r="C295" s="2"/>
      <c r="J295" s="2"/>
    </row>
    <row r="296" spans="3:10" x14ac:dyDescent="0.4">
      <c r="C296" s="2"/>
      <c r="J296" s="2"/>
    </row>
  </sheetData>
  <mergeCells count="5">
    <mergeCell ref="B36:E36"/>
    <mergeCell ref="F36:G37"/>
    <mergeCell ref="B37:E37"/>
    <mergeCell ref="C1:D1"/>
    <mergeCell ref="C2:D2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E095-AEC9-4437-9903-54BB711B8DFA}">
  <sheetPr>
    <tabColor theme="7" tint="0.79998168889431442"/>
  </sheetPr>
  <dimension ref="B2:P81"/>
  <sheetViews>
    <sheetView topLeftCell="A25" workbookViewId="0">
      <selection activeCell="C80" sqref="C80"/>
    </sheetView>
  </sheetViews>
  <sheetFormatPr defaultRowHeight="18.75" x14ac:dyDescent="0.4"/>
  <cols>
    <col min="2" max="2" width="25.625" style="41" customWidth="1"/>
    <col min="3" max="6" width="8.875" style="47" customWidth="1"/>
    <col min="7" max="7" width="8.875" style="61" customWidth="1"/>
    <col min="8" max="12" width="8.875" style="47" customWidth="1"/>
    <col min="13" max="13" width="9" style="47"/>
    <col min="15" max="16" width="9" style="1"/>
  </cols>
  <sheetData>
    <row r="2" spans="2:16" x14ac:dyDescent="0.4">
      <c r="B2" s="38"/>
      <c r="C2" s="62" t="s">
        <v>30</v>
      </c>
      <c r="D2" s="62"/>
      <c r="E2" s="62"/>
      <c r="F2" s="62"/>
      <c r="G2" s="62"/>
      <c r="H2" s="62"/>
      <c r="I2" s="62"/>
      <c r="J2" s="62"/>
      <c r="K2" s="62"/>
      <c r="L2" s="63"/>
      <c r="M2" s="64"/>
      <c r="N2" s="1"/>
    </row>
    <row r="3" spans="2:16" x14ac:dyDescent="0.4">
      <c r="B3" s="38"/>
      <c r="C3" s="30" t="s">
        <v>26</v>
      </c>
      <c r="D3" s="29">
        <v>6</v>
      </c>
      <c r="E3" s="29">
        <v>4</v>
      </c>
      <c r="F3" s="29">
        <v>2</v>
      </c>
      <c r="G3" s="48" t="s">
        <v>28</v>
      </c>
      <c r="H3" s="65" t="s">
        <v>45</v>
      </c>
      <c r="I3" s="29">
        <v>2</v>
      </c>
      <c r="J3" s="29">
        <v>4</v>
      </c>
      <c r="K3" s="29">
        <v>6</v>
      </c>
      <c r="L3" s="34">
        <v>8</v>
      </c>
      <c r="M3" s="31" t="s">
        <v>27</v>
      </c>
      <c r="N3" s="1"/>
      <c r="O3" s="66" t="s">
        <v>26</v>
      </c>
      <c r="P3" s="66" t="s">
        <v>27</v>
      </c>
    </row>
    <row r="4" spans="2:16" x14ac:dyDescent="0.4">
      <c r="B4" s="38"/>
      <c r="C4" s="35" t="s">
        <v>29</v>
      </c>
      <c r="D4" s="36"/>
      <c r="E4" s="36"/>
      <c r="F4" s="36"/>
      <c r="G4" s="36"/>
      <c r="H4" s="36"/>
      <c r="I4" s="36"/>
      <c r="J4" s="36"/>
      <c r="K4" s="36"/>
      <c r="L4" s="36"/>
      <c r="M4" s="37"/>
      <c r="N4" s="1"/>
    </row>
    <row r="5" spans="2:16" x14ac:dyDescent="0.4">
      <c r="B5" s="39" t="s">
        <v>0</v>
      </c>
      <c r="C5" s="49">
        <v>9.7159999999999993</v>
      </c>
      <c r="D5" s="49"/>
      <c r="E5" s="50"/>
      <c r="F5" s="50">
        <v>9.7609999999999992</v>
      </c>
      <c r="G5" s="76">
        <v>9.81</v>
      </c>
      <c r="H5" s="50"/>
      <c r="I5" s="50">
        <v>9.827</v>
      </c>
      <c r="J5" s="51">
        <v>9.7420000000000009</v>
      </c>
      <c r="K5" s="52"/>
      <c r="L5" s="50"/>
      <c r="M5" s="53">
        <v>9.6809999999999992</v>
      </c>
      <c r="N5" s="1"/>
      <c r="O5" s="67">
        <v>2.99</v>
      </c>
      <c r="P5" s="67">
        <v>5.38</v>
      </c>
    </row>
    <row r="6" spans="2:16" s="8" customFormat="1" x14ac:dyDescent="0.4">
      <c r="B6" s="40"/>
      <c r="C6" s="69">
        <f>(G5-C5)/O5</f>
        <v>3.1438127090301402E-2</v>
      </c>
      <c r="D6" s="70"/>
      <c r="E6" s="70"/>
      <c r="F6" s="70">
        <f>(G5-F5)/$F$3</f>
        <v>2.4500000000000632E-2</v>
      </c>
      <c r="G6" s="77"/>
      <c r="H6" s="70"/>
      <c r="I6" s="70">
        <f>(G5-I5)/$I$3</f>
        <v>-8.49999999999973E-3</v>
      </c>
      <c r="J6" s="70">
        <f>(G5-J5)/$J$3</f>
        <v>1.6999999999999904E-2</v>
      </c>
      <c r="K6" s="70"/>
      <c r="L6" s="71"/>
      <c r="M6" s="72">
        <f>(G5-M5)/P5</f>
        <v>2.3977695167286494E-2</v>
      </c>
      <c r="N6" s="73"/>
      <c r="O6" s="74"/>
      <c r="P6" s="74"/>
    </row>
    <row r="7" spans="2:16" x14ac:dyDescent="0.4">
      <c r="B7" s="39" t="s">
        <v>1</v>
      </c>
      <c r="C7" s="50">
        <v>9.8249999999999993</v>
      </c>
      <c r="D7" s="50"/>
      <c r="E7" s="50"/>
      <c r="F7" s="54">
        <v>9.8469999999999995</v>
      </c>
      <c r="G7" s="76">
        <v>9.8550000000000004</v>
      </c>
      <c r="H7" s="50"/>
      <c r="I7" s="54">
        <v>9.8119999999999994</v>
      </c>
      <c r="J7" s="54">
        <v>9.7829999999999995</v>
      </c>
      <c r="K7" s="50"/>
      <c r="L7" s="49"/>
      <c r="M7" s="55">
        <v>9.7430000000000003</v>
      </c>
      <c r="N7" s="2"/>
      <c r="O7" s="67">
        <v>2.97</v>
      </c>
      <c r="P7" s="67">
        <v>5.4</v>
      </c>
    </row>
    <row r="8" spans="2:16" x14ac:dyDescent="0.4">
      <c r="B8" s="40"/>
      <c r="C8" s="69">
        <f>(G7-C7)/O7</f>
        <v>1.0101010101010484E-2</v>
      </c>
      <c r="D8" s="70"/>
      <c r="E8" s="70"/>
      <c r="F8" s="70">
        <f>(G7-F7)/$F$3</f>
        <v>4.0000000000004476E-3</v>
      </c>
      <c r="G8" s="77"/>
      <c r="H8" s="70"/>
      <c r="I8" s="70">
        <f>(G7-I7)/$I$3</f>
        <v>2.1500000000000519E-2</v>
      </c>
      <c r="J8" s="70">
        <f>(G7-J7)/$J$3</f>
        <v>1.8000000000000238E-2</v>
      </c>
      <c r="K8" s="70"/>
      <c r="L8" s="71"/>
      <c r="M8" s="72">
        <f>(G7-M7)/P7</f>
        <v>2.0740740740740757E-2</v>
      </c>
      <c r="N8" s="2"/>
      <c r="O8" s="67"/>
      <c r="P8" s="67"/>
    </row>
    <row r="9" spans="2:16" x14ac:dyDescent="0.4">
      <c r="B9" s="39" t="s">
        <v>2</v>
      </c>
      <c r="C9" s="50">
        <v>9.8689999999999998</v>
      </c>
      <c r="D9" s="50"/>
      <c r="E9" s="50"/>
      <c r="F9" s="54">
        <v>9.8740000000000006</v>
      </c>
      <c r="G9" s="76">
        <v>9.9009999999999998</v>
      </c>
      <c r="H9" s="50"/>
      <c r="I9" s="54">
        <v>9.8789999999999996</v>
      </c>
      <c r="J9" s="54">
        <v>9.8650000000000002</v>
      </c>
      <c r="K9" s="50"/>
      <c r="L9" s="49"/>
      <c r="M9" s="55">
        <v>9.8350000000000009</v>
      </c>
      <c r="N9" s="2"/>
      <c r="O9" s="67">
        <v>2.95</v>
      </c>
      <c r="P9" s="67">
        <v>5.4</v>
      </c>
    </row>
    <row r="10" spans="2:16" x14ac:dyDescent="0.4">
      <c r="B10" s="40"/>
      <c r="C10" s="69">
        <f>(G9-C9)/O9</f>
        <v>1.0847457627118653E-2</v>
      </c>
      <c r="D10" s="70"/>
      <c r="E10" s="70"/>
      <c r="F10" s="70">
        <f>(G9-F9)/$F$3</f>
        <v>1.3499999999999623E-2</v>
      </c>
      <c r="G10" s="77"/>
      <c r="H10" s="70"/>
      <c r="I10" s="70">
        <f>(G9-I9)/$I$3</f>
        <v>1.1000000000000121E-2</v>
      </c>
      <c r="J10" s="70">
        <f>(G9-J9)/$J$3</f>
        <v>8.999999999999897E-3</v>
      </c>
      <c r="K10" s="70"/>
      <c r="L10" s="71"/>
      <c r="M10" s="72">
        <f>(G9-M9)/P9</f>
        <v>1.2222222222222027E-2</v>
      </c>
      <c r="N10" s="2"/>
      <c r="O10" s="67"/>
      <c r="P10" s="67"/>
    </row>
    <row r="11" spans="2:16" x14ac:dyDescent="0.4">
      <c r="B11" s="39" t="s">
        <v>3</v>
      </c>
      <c r="C11" s="50">
        <v>9.8829999999999991</v>
      </c>
      <c r="D11" s="50"/>
      <c r="E11" s="50"/>
      <c r="F11" s="54">
        <v>9.9019999999999992</v>
      </c>
      <c r="G11" s="76">
        <v>9.9350000000000005</v>
      </c>
      <c r="H11" s="50"/>
      <c r="I11" s="54">
        <v>9.9190000000000005</v>
      </c>
      <c r="J11" s="54">
        <v>9.9019999999999992</v>
      </c>
      <c r="K11" s="50"/>
      <c r="L11" s="49"/>
      <c r="M11" s="55">
        <v>9.8780000000000001</v>
      </c>
      <c r="N11" s="2"/>
      <c r="O11" s="67">
        <v>2.92</v>
      </c>
      <c r="P11" s="67">
        <v>5.25</v>
      </c>
    </row>
    <row r="12" spans="2:16" x14ac:dyDescent="0.4">
      <c r="B12" s="40"/>
      <c r="C12" s="69">
        <f>(G11-C11)/O11</f>
        <v>1.7808219178082663E-2</v>
      </c>
      <c r="D12" s="70"/>
      <c r="E12" s="70"/>
      <c r="F12" s="70">
        <f>(G11-F11)/$F$3</f>
        <v>1.6500000000000625E-2</v>
      </c>
      <c r="G12" s="77"/>
      <c r="H12" s="70"/>
      <c r="I12" s="70">
        <f>(G11-I11)/$I$3</f>
        <v>8.0000000000000071E-3</v>
      </c>
      <c r="J12" s="70">
        <f>(G11-J11)/$J$3</f>
        <v>8.2500000000003126E-3</v>
      </c>
      <c r="K12" s="70"/>
      <c r="L12" s="71"/>
      <c r="M12" s="72">
        <f>(G11-M11)/P11</f>
        <v>1.085714285714293E-2</v>
      </c>
      <c r="N12" s="2"/>
      <c r="O12" s="67"/>
      <c r="P12" s="67"/>
    </row>
    <row r="13" spans="2:16" x14ac:dyDescent="0.4">
      <c r="B13" s="44" t="s">
        <v>34</v>
      </c>
      <c r="C13" s="50">
        <v>9.8719999999999999</v>
      </c>
      <c r="D13" s="50"/>
      <c r="E13" s="50"/>
      <c r="F13" s="54">
        <v>9.8930000000000007</v>
      </c>
      <c r="G13" s="76">
        <v>9.9450000000000003</v>
      </c>
      <c r="H13" s="56">
        <v>9.9550000000000001</v>
      </c>
      <c r="I13" s="54">
        <v>9.9160000000000004</v>
      </c>
      <c r="J13" s="54">
        <v>9.8960000000000008</v>
      </c>
      <c r="K13" s="50"/>
      <c r="L13" s="49"/>
      <c r="M13" s="55">
        <v>9.8729999999999993</v>
      </c>
      <c r="N13" s="2"/>
      <c r="O13" s="67">
        <v>2.93</v>
      </c>
      <c r="P13" s="67">
        <v>5.13</v>
      </c>
    </row>
    <row r="14" spans="2:16" x14ac:dyDescent="0.4">
      <c r="B14" s="45"/>
      <c r="C14" s="69">
        <f>(G13-C13)/O13</f>
        <v>2.4914675767918223E-2</v>
      </c>
      <c r="D14" s="70"/>
      <c r="E14" s="70"/>
      <c r="F14" s="70">
        <f>(G13-F13)/$F$3</f>
        <v>2.5999999999999801E-2</v>
      </c>
      <c r="G14" s="77"/>
      <c r="H14" s="70"/>
      <c r="I14" s="70">
        <f>(G13-I13)/$I$3</f>
        <v>1.4499999999999957E-2</v>
      </c>
      <c r="J14" s="70">
        <f>(G13-J13)/$J$3</f>
        <v>1.2249999999999872E-2</v>
      </c>
      <c r="K14" s="70"/>
      <c r="L14" s="71"/>
      <c r="M14" s="72">
        <f>(G13-M13)/P13</f>
        <v>1.4035087719298431E-2</v>
      </c>
      <c r="N14" s="2"/>
      <c r="O14" s="67"/>
      <c r="P14" s="67"/>
    </row>
    <row r="15" spans="2:16" s="43" customFormat="1" x14ac:dyDescent="0.4">
      <c r="B15" s="39" t="s">
        <v>5</v>
      </c>
      <c r="C15" s="57">
        <v>9.9030000000000005</v>
      </c>
      <c r="D15" s="57"/>
      <c r="E15" s="57"/>
      <c r="F15" s="58">
        <v>9.9169999999999998</v>
      </c>
      <c r="G15" s="76">
        <v>9.9469999999999992</v>
      </c>
      <c r="H15" s="57"/>
      <c r="I15" s="58">
        <v>9.9469999999999992</v>
      </c>
      <c r="J15" s="58">
        <v>9.9149999999999991</v>
      </c>
      <c r="K15" s="57"/>
      <c r="L15" s="59"/>
      <c r="M15" s="60">
        <v>9.8839999999999986</v>
      </c>
      <c r="N15" s="42"/>
      <c r="O15" s="68">
        <v>3</v>
      </c>
      <c r="P15" s="68">
        <v>4.97</v>
      </c>
    </row>
    <row r="16" spans="2:16" x14ac:dyDescent="0.4">
      <c r="B16" s="40"/>
      <c r="C16" s="69">
        <f>(G15-C15)/O15</f>
        <v>1.4666666666666236E-2</v>
      </c>
      <c r="D16" s="70"/>
      <c r="E16" s="70"/>
      <c r="F16" s="70">
        <f>(G15-F15)/$F$3</f>
        <v>1.499999999999968E-2</v>
      </c>
      <c r="G16" s="77"/>
      <c r="H16" s="70"/>
      <c r="I16" s="70">
        <f>(G15-I15)/$I$3</f>
        <v>0</v>
      </c>
      <c r="J16" s="70">
        <f>(G15-J15)/$J$3</f>
        <v>8.0000000000000071E-3</v>
      </c>
      <c r="K16" s="70"/>
      <c r="L16" s="71"/>
      <c r="M16" s="72">
        <f>(G15-M15)/P15</f>
        <v>1.2676056338028293E-2</v>
      </c>
      <c r="N16" s="2"/>
      <c r="O16" s="67"/>
      <c r="P16" s="67"/>
    </row>
    <row r="17" spans="2:16" x14ac:dyDescent="0.4">
      <c r="B17" s="39" t="s">
        <v>6</v>
      </c>
      <c r="C17" s="50">
        <v>9.9260000000000002</v>
      </c>
      <c r="D17" s="50"/>
      <c r="E17" s="50"/>
      <c r="F17" s="54">
        <v>9.9440000000000008</v>
      </c>
      <c r="G17" s="76">
        <v>9.9870000000000001</v>
      </c>
      <c r="H17" s="50"/>
      <c r="I17" s="54">
        <v>9.9600000000000009</v>
      </c>
      <c r="J17" s="54">
        <v>9.9280000000000008</v>
      </c>
      <c r="K17" s="50"/>
      <c r="L17" s="49"/>
      <c r="M17" s="55">
        <v>9.9120000000000008</v>
      </c>
      <c r="N17" s="2"/>
      <c r="O17" s="67">
        <v>3.05</v>
      </c>
      <c r="P17" s="67">
        <v>4.46</v>
      </c>
    </row>
    <row r="18" spans="2:16" x14ac:dyDescent="0.4">
      <c r="B18" s="40"/>
      <c r="C18" s="69">
        <f>(G17-C17)/O17</f>
        <v>1.9999999999999983E-2</v>
      </c>
      <c r="D18" s="70"/>
      <c r="E18" s="70"/>
      <c r="F18" s="70">
        <f>(G17-F17)/$F$3</f>
        <v>2.1499999999999631E-2</v>
      </c>
      <c r="G18" s="77"/>
      <c r="H18" s="70"/>
      <c r="I18" s="70">
        <f>(G17-I17)/$I$3</f>
        <v>1.3499999999999623E-2</v>
      </c>
      <c r="J18" s="70">
        <f>(G17-J17)/$J$3</f>
        <v>1.4749999999999819E-2</v>
      </c>
      <c r="K18" s="70"/>
      <c r="L18" s="71"/>
      <c r="M18" s="72">
        <f>(G17-M17)/P17</f>
        <v>1.6816143497757688E-2</v>
      </c>
      <c r="N18" s="2"/>
      <c r="O18" s="67"/>
      <c r="P18" s="67"/>
    </row>
    <row r="19" spans="2:16" x14ac:dyDescent="0.4">
      <c r="B19" s="39" t="s">
        <v>7</v>
      </c>
      <c r="C19" s="50">
        <v>10.038</v>
      </c>
      <c r="D19" s="50"/>
      <c r="E19" s="50"/>
      <c r="F19" s="54">
        <v>10.036</v>
      </c>
      <c r="G19" s="76">
        <v>10.026</v>
      </c>
      <c r="H19" s="50"/>
      <c r="I19" s="54">
        <v>9.9969999999999999</v>
      </c>
      <c r="J19" s="54"/>
      <c r="K19" s="50"/>
      <c r="L19" s="49"/>
      <c r="M19" s="55">
        <v>9.9559999999999995</v>
      </c>
      <c r="N19" s="2"/>
      <c r="O19" s="67">
        <v>3.2</v>
      </c>
      <c r="P19" s="67">
        <v>3.9</v>
      </c>
    </row>
    <row r="20" spans="2:16" x14ac:dyDescent="0.4">
      <c r="B20" s="40"/>
      <c r="C20" s="69">
        <f>(G19-C19)/O19</f>
        <v>-3.7500000000001421E-3</v>
      </c>
      <c r="D20" s="70"/>
      <c r="E20" s="70"/>
      <c r="F20" s="70">
        <f>(G19-F19)/$F$3</f>
        <v>-4.9999999999998934E-3</v>
      </c>
      <c r="G20" s="77"/>
      <c r="H20" s="70"/>
      <c r="I20" s="70">
        <f>(G19-I19)/$I$3</f>
        <v>1.4499999999999957E-2</v>
      </c>
      <c r="J20" s="70"/>
      <c r="K20" s="70"/>
      <c r="L20" s="71"/>
      <c r="M20" s="72">
        <f>(G19-M19)/P19</f>
        <v>1.7948717948718024E-2</v>
      </c>
      <c r="N20" s="2"/>
      <c r="O20" s="67"/>
      <c r="P20" s="67"/>
    </row>
    <row r="21" spans="2:16" x14ac:dyDescent="0.4">
      <c r="B21" s="44" t="s">
        <v>35</v>
      </c>
      <c r="C21" s="50">
        <v>10.052</v>
      </c>
      <c r="D21" s="50"/>
      <c r="E21" s="50"/>
      <c r="F21" s="54">
        <v>10.055999999999999</v>
      </c>
      <c r="G21" s="76">
        <v>10.054</v>
      </c>
      <c r="H21" s="56">
        <v>10.039</v>
      </c>
      <c r="I21" s="54">
        <v>10.007999999999999</v>
      </c>
      <c r="J21" s="54"/>
      <c r="K21" s="50"/>
      <c r="L21" s="49"/>
      <c r="M21" s="55">
        <v>9.9589999999999996</v>
      </c>
      <c r="N21" s="2"/>
      <c r="O21" s="67">
        <v>3.14</v>
      </c>
      <c r="P21" s="67">
        <v>3.79</v>
      </c>
    </row>
    <row r="22" spans="2:16" x14ac:dyDescent="0.4">
      <c r="B22" s="45"/>
      <c r="C22" s="69">
        <f>(G21-C21)/O21</f>
        <v>6.3694267515944836E-4</v>
      </c>
      <c r="D22" s="70"/>
      <c r="E22" s="70"/>
      <c r="F22" s="70">
        <f>(G21-F21)/$F$3</f>
        <v>-9.9999999999944578E-4</v>
      </c>
      <c r="G22" s="77"/>
      <c r="H22" s="70"/>
      <c r="I22" s="70">
        <f>(G21-I21)/$I$3</f>
        <v>2.3000000000000576E-2</v>
      </c>
      <c r="J22" s="70"/>
      <c r="K22" s="70"/>
      <c r="L22" s="71"/>
      <c r="M22" s="72">
        <f>(G21-M21)/P21</f>
        <v>2.5065963060686185E-2</v>
      </c>
      <c r="N22" s="2"/>
      <c r="O22" s="67"/>
      <c r="P22" s="67"/>
    </row>
    <row r="23" spans="2:16" x14ac:dyDescent="0.4">
      <c r="B23" s="39" t="s">
        <v>8</v>
      </c>
      <c r="C23" s="50">
        <v>10.002000000000001</v>
      </c>
      <c r="D23" s="50"/>
      <c r="E23" s="50"/>
      <c r="F23" s="54">
        <v>10.013999999999999</v>
      </c>
      <c r="G23" s="76">
        <v>10.045999999999999</v>
      </c>
      <c r="H23" s="50"/>
      <c r="I23" s="54">
        <v>10.006</v>
      </c>
      <c r="J23" s="54"/>
      <c r="K23" s="50"/>
      <c r="L23" s="49"/>
      <c r="M23" s="55">
        <v>9.968</v>
      </c>
      <c r="N23" s="2"/>
      <c r="O23" s="67">
        <v>3.18</v>
      </c>
      <c r="P23" s="67">
        <v>3.47</v>
      </c>
    </row>
    <row r="24" spans="2:16" x14ac:dyDescent="0.4">
      <c r="B24" s="40"/>
      <c r="C24" s="69">
        <f>(G23-C23)/O23</f>
        <v>1.3836477987420976E-2</v>
      </c>
      <c r="D24" s="70"/>
      <c r="E24" s="70"/>
      <c r="F24" s="70">
        <f>(G23-F23)/$F$3</f>
        <v>1.6000000000000014E-2</v>
      </c>
      <c r="G24" s="77"/>
      <c r="H24" s="70"/>
      <c r="I24" s="70">
        <f>(G23-I23)/$I$3</f>
        <v>1.9999999999999574E-2</v>
      </c>
      <c r="J24" s="70"/>
      <c r="K24" s="70"/>
      <c r="L24" s="71"/>
      <c r="M24" s="72">
        <f>(G23-M23)/P23</f>
        <v>2.2478386167146799E-2</v>
      </c>
      <c r="N24" s="2"/>
      <c r="O24" s="67"/>
      <c r="P24" s="67"/>
    </row>
    <row r="25" spans="2:16" x14ac:dyDescent="0.4">
      <c r="B25" s="39" t="s">
        <v>9</v>
      </c>
      <c r="C25" s="50">
        <v>9.9960000000000004</v>
      </c>
      <c r="D25" s="50"/>
      <c r="E25" s="50"/>
      <c r="F25" s="54">
        <v>10.016999999999999</v>
      </c>
      <c r="G25" s="76">
        <v>10.048999999999999</v>
      </c>
      <c r="H25" s="50"/>
      <c r="I25" s="54">
        <v>10.015000000000001</v>
      </c>
      <c r="J25" s="54"/>
      <c r="K25" s="50"/>
      <c r="L25" s="49"/>
      <c r="M25" s="55">
        <v>9.9920000000000009</v>
      </c>
      <c r="N25" s="2"/>
      <c r="O25" s="67">
        <v>3.2</v>
      </c>
      <c r="P25" s="67">
        <v>3.2</v>
      </c>
    </row>
    <row r="26" spans="2:16" x14ac:dyDescent="0.4">
      <c r="B26" s="40"/>
      <c r="C26" s="69">
        <f>(G25-C25)/O25</f>
        <v>1.6562499999999702E-2</v>
      </c>
      <c r="D26" s="70"/>
      <c r="E26" s="70"/>
      <c r="F26" s="70">
        <f>(G25-F25)/$F$3</f>
        <v>1.6000000000000014E-2</v>
      </c>
      <c r="G26" s="77"/>
      <c r="H26" s="70"/>
      <c r="I26" s="70">
        <f>(G25-I25)/$I$3</f>
        <v>1.699999999999946E-2</v>
      </c>
      <c r="J26" s="70"/>
      <c r="K26" s="70"/>
      <c r="L26" s="71"/>
      <c r="M26" s="72">
        <f>(G25-M25)/P25</f>
        <v>1.7812499999999565E-2</v>
      </c>
      <c r="N26" s="2"/>
      <c r="O26" s="67"/>
      <c r="P26" s="67"/>
    </row>
    <row r="27" spans="2:16" x14ac:dyDescent="0.4">
      <c r="B27" s="39" t="s">
        <v>31</v>
      </c>
      <c r="C27" s="50">
        <v>10.002000000000001</v>
      </c>
      <c r="D27" s="50"/>
      <c r="E27" s="50"/>
      <c r="F27" s="54">
        <v>10.029</v>
      </c>
      <c r="G27" s="76">
        <v>10.068</v>
      </c>
      <c r="H27" s="50"/>
      <c r="I27" s="54">
        <v>10.026999999999999</v>
      </c>
      <c r="J27" s="54"/>
      <c r="K27" s="50"/>
      <c r="L27" s="49"/>
      <c r="M27" s="55">
        <v>9.9990000000000006</v>
      </c>
      <c r="N27" s="2"/>
      <c r="O27" s="67">
        <v>3.19</v>
      </c>
      <c r="P27" s="67">
        <v>3.18</v>
      </c>
    </row>
    <row r="28" spans="2:16" x14ac:dyDescent="0.4">
      <c r="B28" s="40"/>
      <c r="C28" s="69">
        <f>(G27-C27)/O27</f>
        <v>2.0689655172413463E-2</v>
      </c>
      <c r="D28" s="70"/>
      <c r="E28" s="70"/>
      <c r="F28" s="70">
        <f>(G27-F27)/$F$3</f>
        <v>1.9499999999999851E-2</v>
      </c>
      <c r="G28" s="77"/>
      <c r="H28" s="70"/>
      <c r="I28" s="70">
        <f>(G27-I27)/$I$3</f>
        <v>2.0500000000000185E-2</v>
      </c>
      <c r="J28" s="70"/>
      <c r="K28" s="70"/>
      <c r="L28" s="71"/>
      <c r="M28" s="72">
        <f>(G27-M27)/P27</f>
        <v>2.1698113207546874E-2</v>
      </c>
      <c r="N28" s="2"/>
      <c r="O28" s="67"/>
      <c r="P28" s="67"/>
    </row>
    <row r="29" spans="2:16" x14ac:dyDescent="0.4">
      <c r="B29" s="39" t="s">
        <v>11</v>
      </c>
      <c r="C29" s="50">
        <v>10.019</v>
      </c>
      <c r="D29" s="50"/>
      <c r="E29" s="50"/>
      <c r="F29" s="54">
        <v>10.047000000000001</v>
      </c>
      <c r="G29" s="76">
        <v>10.087999999999999</v>
      </c>
      <c r="H29" s="50"/>
      <c r="I29" s="54">
        <v>10.048</v>
      </c>
      <c r="J29" s="54"/>
      <c r="K29" s="50"/>
      <c r="L29" s="49"/>
      <c r="M29" s="55">
        <v>10.023999999999999</v>
      </c>
      <c r="N29" s="2"/>
      <c r="O29" s="67">
        <v>3.2</v>
      </c>
      <c r="P29" s="67">
        <v>3.18</v>
      </c>
    </row>
    <row r="30" spans="2:16" x14ac:dyDescent="0.4">
      <c r="B30" s="40"/>
      <c r="C30" s="69">
        <f>(G29-C29)/O29</f>
        <v>2.1562499999999707E-2</v>
      </c>
      <c r="D30" s="70"/>
      <c r="E30" s="70"/>
      <c r="F30" s="70">
        <f>(G29-F29)/$F$3</f>
        <v>2.0499999999999297E-2</v>
      </c>
      <c r="G30" s="77"/>
      <c r="H30" s="70"/>
      <c r="I30" s="70">
        <f>(G29-I29)/$I$3</f>
        <v>1.9999999999999574E-2</v>
      </c>
      <c r="J30" s="70"/>
      <c r="K30" s="70"/>
      <c r="L30" s="71"/>
      <c r="M30" s="72">
        <f>(G29-M29)/P29</f>
        <v>2.0125786163522029E-2</v>
      </c>
      <c r="N30" s="2"/>
      <c r="O30" s="67"/>
      <c r="P30" s="67"/>
    </row>
    <row r="31" spans="2:16" x14ac:dyDescent="0.4">
      <c r="B31" s="39" t="s">
        <v>12</v>
      </c>
      <c r="C31" s="50">
        <v>10.037000000000001</v>
      </c>
      <c r="D31" s="50"/>
      <c r="E31" s="50"/>
      <c r="F31" s="54">
        <v>10.055</v>
      </c>
      <c r="G31" s="76">
        <v>10.089</v>
      </c>
      <c r="H31" s="50"/>
      <c r="I31" s="54">
        <v>10.06</v>
      </c>
      <c r="J31" s="54"/>
      <c r="K31" s="50"/>
      <c r="L31" s="49"/>
      <c r="M31" s="55">
        <v>10.035</v>
      </c>
      <c r="N31" s="2"/>
      <c r="O31" s="67">
        <v>3.18</v>
      </c>
      <c r="P31" s="67">
        <v>3.2</v>
      </c>
    </row>
    <row r="32" spans="2:16" x14ac:dyDescent="0.4">
      <c r="B32" s="40"/>
      <c r="C32" s="69">
        <f>(G31-C31)/O31</f>
        <v>1.635220125786151E-2</v>
      </c>
      <c r="D32" s="70"/>
      <c r="E32" s="70"/>
      <c r="F32" s="70">
        <f>(G31-F31)/$F$3</f>
        <v>1.7000000000000348E-2</v>
      </c>
      <c r="G32" s="77"/>
      <c r="H32" s="70"/>
      <c r="I32" s="70">
        <f>(G31-I31)/$I$3</f>
        <v>1.4499999999999957E-2</v>
      </c>
      <c r="J32" s="70"/>
      <c r="K32" s="70"/>
      <c r="L32" s="71"/>
      <c r="M32" s="72">
        <f>(G31-M31)/P31</f>
        <v>1.6875000000000084E-2</v>
      </c>
      <c r="N32" s="2"/>
      <c r="O32" s="67"/>
      <c r="P32" s="67"/>
    </row>
    <row r="33" spans="2:16" x14ac:dyDescent="0.4">
      <c r="B33" s="39" t="s">
        <v>13</v>
      </c>
      <c r="C33" s="50">
        <v>10.103</v>
      </c>
      <c r="D33" s="50"/>
      <c r="E33" s="50"/>
      <c r="F33" s="54">
        <v>10.106</v>
      </c>
      <c r="G33" s="76">
        <v>10.138</v>
      </c>
      <c r="H33" s="50"/>
      <c r="I33" s="54">
        <v>10.105</v>
      </c>
      <c r="J33" s="54"/>
      <c r="K33" s="50"/>
      <c r="L33" s="49"/>
      <c r="M33" s="55">
        <v>10.071999999999999</v>
      </c>
      <c r="N33" s="2"/>
      <c r="O33" s="67">
        <v>3.2</v>
      </c>
      <c r="P33" s="67">
        <v>3.2</v>
      </c>
    </row>
    <row r="34" spans="2:16" x14ac:dyDescent="0.4">
      <c r="B34" s="40"/>
      <c r="C34" s="69">
        <f>(G33-C33)/O33</f>
        <v>1.0937500000000044E-2</v>
      </c>
      <c r="D34" s="70"/>
      <c r="E34" s="70"/>
      <c r="F34" s="70">
        <f>(G33-F33)/$F$3</f>
        <v>1.6000000000000014E-2</v>
      </c>
      <c r="G34" s="77"/>
      <c r="H34" s="70"/>
      <c r="I34" s="70">
        <f>(G33-I33)/$I$3</f>
        <v>1.6499999999999737E-2</v>
      </c>
      <c r="J34" s="70"/>
      <c r="K34" s="70"/>
      <c r="L34" s="71"/>
      <c r="M34" s="72">
        <f>(G33-M33)/P33</f>
        <v>2.0625000000000226E-2</v>
      </c>
      <c r="N34" s="2"/>
      <c r="O34" s="67"/>
      <c r="P34" s="67"/>
    </row>
    <row r="35" spans="2:16" x14ac:dyDescent="0.4">
      <c r="B35" s="44" t="s">
        <v>47</v>
      </c>
      <c r="C35" s="50">
        <v>10.132</v>
      </c>
      <c r="D35" s="50"/>
      <c r="E35" s="50"/>
      <c r="F35" s="54">
        <v>10.128</v>
      </c>
      <c r="G35" s="76">
        <v>10.153</v>
      </c>
      <c r="H35" s="56">
        <v>10.134</v>
      </c>
      <c r="I35" s="54">
        <v>10.112</v>
      </c>
      <c r="J35" s="54"/>
      <c r="K35" s="50"/>
      <c r="L35" s="49"/>
      <c r="M35" s="55">
        <v>10.07</v>
      </c>
      <c r="N35" s="2"/>
      <c r="O35" s="67">
        <v>3.18</v>
      </c>
      <c r="P35" s="67">
        <v>3.2</v>
      </c>
    </row>
    <row r="36" spans="2:16" x14ac:dyDescent="0.4">
      <c r="B36" s="45"/>
      <c r="C36" s="69">
        <f>(G35-C35)/O35</f>
        <v>6.6037735849059104E-3</v>
      </c>
      <c r="D36" s="70"/>
      <c r="E36" s="70"/>
      <c r="F36" s="70">
        <f>(G35-F35)/$F$3</f>
        <v>1.2500000000000178E-2</v>
      </c>
      <c r="G36" s="77"/>
      <c r="H36" s="70"/>
      <c r="I36" s="70">
        <f>(G35-I35)/$I$3</f>
        <v>2.0500000000000185E-2</v>
      </c>
      <c r="J36" s="70"/>
      <c r="K36" s="70"/>
      <c r="L36" s="71"/>
      <c r="M36" s="72">
        <f>(G35-M35)/P35</f>
        <v>2.5937500000000058E-2</v>
      </c>
      <c r="N36" s="2"/>
      <c r="O36" s="67"/>
      <c r="P36" s="67"/>
    </row>
    <row r="37" spans="2:16" x14ac:dyDescent="0.4">
      <c r="B37" s="39" t="s">
        <v>14</v>
      </c>
      <c r="C37" s="50">
        <v>10.108000000000001</v>
      </c>
      <c r="D37" s="50"/>
      <c r="E37" s="50"/>
      <c r="F37" s="54">
        <v>10.122999999999999</v>
      </c>
      <c r="G37" s="76">
        <v>10.154</v>
      </c>
      <c r="H37" s="50"/>
      <c r="I37" s="54">
        <v>10.135</v>
      </c>
      <c r="J37" s="54"/>
      <c r="K37" s="50"/>
      <c r="L37" s="49"/>
      <c r="M37" s="55">
        <v>10.098000000000001</v>
      </c>
      <c r="N37" s="2"/>
      <c r="O37" s="67">
        <v>3.18</v>
      </c>
      <c r="P37" s="67">
        <v>3.2</v>
      </c>
    </row>
    <row r="38" spans="2:16" x14ac:dyDescent="0.4">
      <c r="B38" s="40"/>
      <c r="C38" s="69">
        <f>(G37-C37)/O37</f>
        <v>1.4465408805031249E-2</v>
      </c>
      <c r="D38" s="70"/>
      <c r="E38" s="70"/>
      <c r="F38" s="70">
        <f>(G37-F37)/$F$3</f>
        <v>1.5500000000000291E-2</v>
      </c>
      <c r="G38" s="77"/>
      <c r="H38" s="70"/>
      <c r="I38" s="70">
        <f>(G37-I37)/$I$3</f>
        <v>9.5000000000000639E-3</v>
      </c>
      <c r="J38" s="70"/>
      <c r="K38" s="70"/>
      <c r="L38" s="71"/>
      <c r="M38" s="72">
        <f>(G37-M37)/P37</f>
        <v>1.7499999999999738E-2</v>
      </c>
      <c r="N38" s="2"/>
      <c r="O38" s="67"/>
      <c r="P38" s="67"/>
    </row>
    <row r="39" spans="2:16" x14ac:dyDescent="0.4">
      <c r="B39" s="39" t="s">
        <v>15</v>
      </c>
      <c r="C39" s="50">
        <v>10.14</v>
      </c>
      <c r="D39" s="50"/>
      <c r="E39" s="50"/>
      <c r="F39" s="54">
        <v>10.157999999999999</v>
      </c>
      <c r="G39" s="76">
        <v>10.192</v>
      </c>
      <c r="H39" s="50"/>
      <c r="I39" s="54">
        <v>10.172000000000001</v>
      </c>
      <c r="J39" s="54"/>
      <c r="K39" s="50"/>
      <c r="L39" s="49"/>
      <c r="M39" s="55">
        <v>10.141999999999999</v>
      </c>
      <c r="N39" s="2"/>
      <c r="O39" s="67">
        <v>3.18</v>
      </c>
      <c r="P39" s="67">
        <v>3.19</v>
      </c>
    </row>
    <row r="40" spans="2:16" x14ac:dyDescent="0.4">
      <c r="B40" s="40"/>
      <c r="C40" s="69">
        <f>(G39-C39)/O39</f>
        <v>1.635220125786151E-2</v>
      </c>
      <c r="D40" s="70"/>
      <c r="E40" s="70"/>
      <c r="F40" s="70">
        <f>(G39-F39)/$F$3</f>
        <v>1.7000000000000348E-2</v>
      </c>
      <c r="G40" s="77"/>
      <c r="H40" s="70"/>
      <c r="I40" s="70">
        <f>(G39-I39)/$I$3</f>
        <v>9.9999999999997868E-3</v>
      </c>
      <c r="J40" s="70"/>
      <c r="K40" s="70"/>
      <c r="L40" s="71"/>
      <c r="M40" s="72">
        <f>(G39-M39)/P39</f>
        <v>1.5673981191222795E-2</v>
      </c>
      <c r="N40" s="2"/>
      <c r="O40" s="67"/>
      <c r="P40" s="67"/>
    </row>
    <row r="41" spans="2:16" x14ac:dyDescent="0.4">
      <c r="B41" s="39" t="s">
        <v>16</v>
      </c>
      <c r="C41" s="50">
        <v>10.196</v>
      </c>
      <c r="D41" s="50"/>
      <c r="E41" s="50"/>
      <c r="F41" s="54">
        <v>10.212</v>
      </c>
      <c r="G41" s="76">
        <v>10.228</v>
      </c>
      <c r="H41" s="50"/>
      <c r="I41" s="54">
        <v>10.208</v>
      </c>
      <c r="J41" s="54"/>
      <c r="K41" s="50"/>
      <c r="L41" s="49"/>
      <c r="M41" s="55">
        <v>10.19</v>
      </c>
      <c r="N41" s="2"/>
      <c r="O41" s="67">
        <v>3.18</v>
      </c>
      <c r="P41" s="67">
        <v>3.19</v>
      </c>
    </row>
    <row r="42" spans="2:16" x14ac:dyDescent="0.4">
      <c r="B42" s="40"/>
      <c r="C42" s="69">
        <f>(G41-C41)/O41</f>
        <v>1.0062893081761014E-2</v>
      </c>
      <c r="D42" s="70"/>
      <c r="E42" s="70"/>
      <c r="F42" s="70">
        <f>(G41-F41)/$F$3</f>
        <v>8.0000000000000071E-3</v>
      </c>
      <c r="G42" s="77"/>
      <c r="H42" s="70"/>
      <c r="I42" s="70">
        <f>(G41-I41)/$I$3</f>
        <v>9.9999999999997868E-3</v>
      </c>
      <c r="J42" s="70"/>
      <c r="K42" s="70"/>
      <c r="L42" s="71"/>
      <c r="M42" s="72">
        <f>(G41-M41)/P41</f>
        <v>1.1912225705329234E-2</v>
      </c>
      <c r="N42" s="2"/>
      <c r="O42" s="67"/>
      <c r="P42" s="67"/>
    </row>
    <row r="43" spans="2:16" x14ac:dyDescent="0.4">
      <c r="B43" s="39" t="s">
        <v>17</v>
      </c>
      <c r="C43" s="50">
        <v>10.236000000000001</v>
      </c>
      <c r="D43" s="50"/>
      <c r="E43" s="50"/>
      <c r="F43" s="54">
        <v>10.255000000000001</v>
      </c>
      <c r="G43" s="76">
        <v>10.298999999999999</v>
      </c>
      <c r="H43" s="50"/>
      <c r="I43" s="54">
        <v>10.260999999999999</v>
      </c>
      <c r="J43" s="54"/>
      <c r="K43" s="50"/>
      <c r="L43" s="49"/>
      <c r="M43" s="55">
        <v>10.234</v>
      </c>
      <c r="N43" s="2"/>
      <c r="O43" s="67">
        <v>3.17</v>
      </c>
      <c r="P43" s="67">
        <v>3.19</v>
      </c>
    </row>
    <row r="44" spans="2:16" x14ac:dyDescent="0.4">
      <c r="B44" s="40"/>
      <c r="C44" s="69">
        <f>(G43-C43)/O43</f>
        <v>1.987381703469995E-2</v>
      </c>
      <c r="D44" s="70"/>
      <c r="E44" s="70"/>
      <c r="F44" s="70">
        <f>(G43-F43)/$F$3</f>
        <v>2.1999999999999353E-2</v>
      </c>
      <c r="G44" s="77"/>
      <c r="H44" s="70"/>
      <c r="I44" s="70">
        <f>(G43-I43)/$I$3</f>
        <v>1.9000000000000128E-2</v>
      </c>
      <c r="J44" s="70"/>
      <c r="K44" s="70"/>
      <c r="L44" s="71"/>
      <c r="M44" s="72">
        <f>(G43-M43)/P43</f>
        <v>2.0376175548589188E-2</v>
      </c>
      <c r="N44" s="2"/>
      <c r="O44" s="67"/>
      <c r="P44" s="67"/>
    </row>
    <row r="45" spans="2:16" x14ac:dyDescent="0.4">
      <c r="B45" s="39" t="s">
        <v>18</v>
      </c>
      <c r="C45" s="50">
        <v>10.359</v>
      </c>
      <c r="D45" s="50"/>
      <c r="E45" s="50"/>
      <c r="F45" s="54">
        <v>10.368</v>
      </c>
      <c r="G45" s="76">
        <v>10.364000000000001</v>
      </c>
      <c r="H45" s="50"/>
      <c r="I45" s="54">
        <v>10.384</v>
      </c>
      <c r="J45" s="54"/>
      <c r="K45" s="50"/>
      <c r="L45" s="49"/>
      <c r="M45" s="55">
        <v>10.398999999999999</v>
      </c>
      <c r="N45" s="2"/>
      <c r="O45" s="67">
        <v>3.2</v>
      </c>
      <c r="P45" s="67">
        <v>3.2</v>
      </c>
    </row>
    <row r="46" spans="2:16" x14ac:dyDescent="0.4">
      <c r="B46" s="40"/>
      <c r="C46" s="69">
        <f>(G45-C45)/O45</f>
        <v>1.5625000000002442E-3</v>
      </c>
      <c r="D46" s="70"/>
      <c r="E46" s="70"/>
      <c r="F46" s="70">
        <f>(G45-F45)/$F$3</f>
        <v>-1.9999999999997797E-3</v>
      </c>
      <c r="G46" s="77"/>
      <c r="H46" s="70"/>
      <c r="I46" s="70">
        <f>(G45-I45)/$I$3</f>
        <v>-9.9999999999997868E-3</v>
      </c>
      <c r="J46" s="70"/>
      <c r="K46" s="70"/>
      <c r="L46" s="71"/>
      <c r="M46" s="72">
        <f>(G45-M45)/P45</f>
        <v>-1.0937499999999489E-2</v>
      </c>
      <c r="N46" s="2"/>
      <c r="O46" s="67"/>
      <c r="P46" s="67"/>
    </row>
    <row r="47" spans="2:16" x14ac:dyDescent="0.4">
      <c r="B47" s="44" t="s">
        <v>37</v>
      </c>
      <c r="C47" s="50">
        <v>10.372</v>
      </c>
      <c r="D47" s="50"/>
      <c r="E47" s="50"/>
      <c r="F47" s="54">
        <v>10.371</v>
      </c>
      <c r="G47" s="76">
        <v>10.375999999999999</v>
      </c>
      <c r="H47" s="56">
        <v>10.375</v>
      </c>
      <c r="I47" s="54">
        <v>10.388</v>
      </c>
      <c r="J47" s="54"/>
      <c r="K47" s="50"/>
      <c r="L47" s="49"/>
      <c r="M47" s="55">
        <v>10.385999999999999</v>
      </c>
      <c r="N47" s="2"/>
      <c r="O47" s="67">
        <v>3.18</v>
      </c>
      <c r="P47" s="67">
        <v>3.2</v>
      </c>
    </row>
    <row r="48" spans="2:16" x14ac:dyDescent="0.4">
      <c r="B48" s="45"/>
      <c r="C48" s="69">
        <f>(G47-C47)/O47</f>
        <v>1.2578616352199872E-3</v>
      </c>
      <c r="D48" s="70"/>
      <c r="E48" s="70"/>
      <c r="F48" s="70">
        <f>(G47-F47)/$F$3</f>
        <v>2.4999999999995026E-3</v>
      </c>
      <c r="G48" s="77"/>
      <c r="H48" s="70"/>
      <c r="I48" s="70">
        <f>(G47-I47)/$I$3</f>
        <v>-6.0000000000002274E-3</v>
      </c>
      <c r="J48" s="70"/>
      <c r="K48" s="70"/>
      <c r="L48" s="71"/>
      <c r="M48" s="72">
        <f>(G47-M47)/P47</f>
        <v>-3.1249999999999334E-3</v>
      </c>
      <c r="N48" s="2"/>
      <c r="O48" s="67"/>
      <c r="P48" s="67"/>
    </row>
    <row r="49" spans="2:16" x14ac:dyDescent="0.4">
      <c r="B49" s="39" t="s">
        <v>19</v>
      </c>
      <c r="C49" s="50">
        <v>10.365</v>
      </c>
      <c r="D49" s="50"/>
      <c r="E49" s="50"/>
      <c r="F49" s="54">
        <v>10.384</v>
      </c>
      <c r="G49" s="76">
        <v>10.414</v>
      </c>
      <c r="H49" s="50"/>
      <c r="I49" s="54">
        <v>10.366</v>
      </c>
      <c r="J49" s="54"/>
      <c r="K49" s="50"/>
      <c r="L49" s="49"/>
      <c r="M49" s="55">
        <v>10.348000000000001</v>
      </c>
      <c r="N49" s="2"/>
      <c r="O49" s="67">
        <v>3.22</v>
      </c>
      <c r="P49" s="67">
        <v>3.2</v>
      </c>
    </row>
    <row r="50" spans="2:16" x14ac:dyDescent="0.4">
      <c r="B50" s="40"/>
      <c r="C50" s="69">
        <f>(G49-C49)/O49</f>
        <v>1.5217391304347667E-2</v>
      </c>
      <c r="D50" s="70"/>
      <c r="E50" s="70"/>
      <c r="F50" s="70">
        <f>(G49-F49)/$F$3</f>
        <v>1.499999999999968E-2</v>
      </c>
      <c r="G50" s="77"/>
      <c r="H50" s="70"/>
      <c r="I50" s="70">
        <f>(G49-I49)/$I$3</f>
        <v>2.4000000000000021E-2</v>
      </c>
      <c r="J50" s="70"/>
      <c r="K50" s="70"/>
      <c r="L50" s="71"/>
      <c r="M50" s="72">
        <f>(G49-M49)/P49</f>
        <v>2.0624999999999671E-2</v>
      </c>
      <c r="N50" s="2"/>
      <c r="O50" s="67"/>
      <c r="P50" s="67"/>
    </row>
    <row r="51" spans="2:16" x14ac:dyDescent="0.4">
      <c r="B51" s="39" t="s">
        <v>20</v>
      </c>
      <c r="C51" s="50">
        <v>10.404</v>
      </c>
      <c r="D51" s="50"/>
      <c r="E51" s="50"/>
      <c r="F51" s="54">
        <v>10.435</v>
      </c>
      <c r="G51" s="76">
        <v>10.465</v>
      </c>
      <c r="H51" s="50"/>
      <c r="I51" s="54">
        <v>10.433</v>
      </c>
      <c r="J51" s="54"/>
      <c r="K51" s="50"/>
      <c r="L51" s="49"/>
      <c r="M51" s="55">
        <v>10.419</v>
      </c>
      <c r="N51" s="2"/>
      <c r="O51" s="67">
        <v>3.18</v>
      </c>
      <c r="P51" s="67">
        <v>3.2</v>
      </c>
    </row>
    <row r="52" spans="2:16" x14ac:dyDescent="0.4">
      <c r="B52" s="40"/>
      <c r="C52" s="69">
        <f>(G51-C51)/O51</f>
        <v>1.91823899371069E-2</v>
      </c>
      <c r="D52" s="70"/>
      <c r="E52" s="70"/>
      <c r="F52" s="70">
        <f>(G51-F51)/$F$3</f>
        <v>1.499999999999968E-2</v>
      </c>
      <c r="G52" s="77"/>
      <c r="H52" s="70"/>
      <c r="I52" s="70">
        <f>(G51-I51)/$I$3</f>
        <v>1.6000000000000014E-2</v>
      </c>
      <c r="J52" s="70"/>
      <c r="K52" s="70"/>
      <c r="L52" s="71"/>
      <c r="M52" s="72">
        <f>(G51-M51)/P51</f>
        <v>1.4374999999999805E-2</v>
      </c>
      <c r="N52" s="2"/>
      <c r="O52" s="67"/>
      <c r="P52" s="67"/>
    </row>
    <row r="53" spans="2:16" x14ac:dyDescent="0.4">
      <c r="B53" s="39" t="s">
        <v>21</v>
      </c>
      <c r="C53" s="50">
        <v>10.478</v>
      </c>
      <c r="D53" s="50"/>
      <c r="E53" s="50"/>
      <c r="F53" s="54">
        <v>10.507</v>
      </c>
      <c r="G53" s="76">
        <v>10.544</v>
      </c>
      <c r="H53" s="50"/>
      <c r="I53" s="54">
        <v>10.510999999999999</v>
      </c>
      <c r="J53" s="54"/>
      <c r="K53" s="50"/>
      <c r="L53" s="49"/>
      <c r="M53" s="55">
        <v>10.481999999999999</v>
      </c>
      <c r="N53" s="2"/>
      <c r="O53" s="67">
        <v>3.2</v>
      </c>
      <c r="P53" s="67">
        <v>3.2</v>
      </c>
    </row>
    <row r="54" spans="2:16" x14ac:dyDescent="0.4">
      <c r="B54" s="40"/>
      <c r="C54" s="69">
        <f>(G53-C53)/O53</f>
        <v>2.0625000000000226E-2</v>
      </c>
      <c r="D54" s="70"/>
      <c r="E54" s="70"/>
      <c r="F54" s="70">
        <f>(G53-F53)/$F$3</f>
        <v>1.8500000000000405E-2</v>
      </c>
      <c r="G54" s="77"/>
      <c r="H54" s="70"/>
      <c r="I54" s="70">
        <f>(G53-I53)/$I$3</f>
        <v>1.6500000000000625E-2</v>
      </c>
      <c r="J54" s="70"/>
      <c r="K54" s="70"/>
      <c r="L54" s="71"/>
      <c r="M54" s="72">
        <f>(G53-M53)/P53</f>
        <v>1.9375000000000364E-2</v>
      </c>
      <c r="N54" s="2"/>
      <c r="O54" s="67"/>
      <c r="P54" s="67"/>
    </row>
    <row r="55" spans="2:16" x14ac:dyDescent="0.4">
      <c r="B55" s="44" t="s">
        <v>38</v>
      </c>
      <c r="C55" s="50">
        <v>10.510999999999999</v>
      </c>
      <c r="D55" s="50"/>
      <c r="E55" s="50"/>
      <c r="F55" s="54">
        <v>10.54</v>
      </c>
      <c r="G55" s="76">
        <v>10.589</v>
      </c>
      <c r="H55" s="56">
        <v>10.571999999999999</v>
      </c>
      <c r="I55" s="54">
        <v>10.534000000000001</v>
      </c>
      <c r="J55" s="54"/>
      <c r="K55" s="50"/>
      <c r="L55" s="49"/>
      <c r="M55" s="55">
        <v>10.510999999999999</v>
      </c>
      <c r="N55" s="2"/>
      <c r="O55" s="67">
        <v>3.18</v>
      </c>
      <c r="P55" s="67">
        <v>3.2</v>
      </c>
    </row>
    <row r="56" spans="2:16" x14ac:dyDescent="0.4">
      <c r="B56" s="45"/>
      <c r="C56" s="69">
        <f>(G55-C55)/O55</f>
        <v>2.4528301886792822E-2</v>
      </c>
      <c r="D56" s="70"/>
      <c r="E56" s="70"/>
      <c r="F56" s="70">
        <f>(G55-F55)/$F$3</f>
        <v>2.4500000000000632E-2</v>
      </c>
      <c r="G56" s="77"/>
      <c r="H56" s="70"/>
      <c r="I56" s="70">
        <f>(G55-I55)/$I$3</f>
        <v>2.7499999999999858E-2</v>
      </c>
      <c r="J56" s="70"/>
      <c r="K56" s="70"/>
      <c r="L56" s="71"/>
      <c r="M56" s="72">
        <f>(G55-M55)/P55</f>
        <v>2.4375000000000369E-2</v>
      </c>
      <c r="N56" s="2"/>
      <c r="O56" s="67"/>
      <c r="P56" s="67"/>
    </row>
    <row r="57" spans="2:16" x14ac:dyDescent="0.4">
      <c r="B57" s="39" t="s">
        <v>22</v>
      </c>
      <c r="C57" s="50">
        <v>10.548999999999999</v>
      </c>
      <c r="D57" s="50"/>
      <c r="E57" s="50"/>
      <c r="F57" s="54">
        <v>10.569000000000001</v>
      </c>
      <c r="G57" s="76">
        <v>10.598000000000001</v>
      </c>
      <c r="H57" s="50"/>
      <c r="I57" s="54">
        <v>10.567</v>
      </c>
      <c r="J57" s="54"/>
      <c r="K57" s="50"/>
      <c r="L57" s="49"/>
      <c r="M57" s="55">
        <v>10.547000000000001</v>
      </c>
      <c r="N57" s="2"/>
      <c r="O57" s="67">
        <v>3.2</v>
      </c>
      <c r="P57" s="67">
        <v>3.2</v>
      </c>
    </row>
    <row r="58" spans="2:16" x14ac:dyDescent="0.4">
      <c r="B58" s="40"/>
      <c r="C58" s="69">
        <f>(G57-C57)/O57</f>
        <v>1.5312500000000395E-2</v>
      </c>
      <c r="D58" s="70"/>
      <c r="E58" s="70"/>
      <c r="F58" s="70">
        <f>(G57-F57)/$F$3</f>
        <v>1.4499999999999957E-2</v>
      </c>
      <c r="G58" s="77"/>
      <c r="H58" s="70"/>
      <c r="I58" s="70">
        <f>(G57-I57)/$I$3</f>
        <v>1.5500000000000291E-2</v>
      </c>
      <c r="J58" s="70"/>
      <c r="K58" s="70"/>
      <c r="L58" s="71"/>
      <c r="M58" s="72">
        <f>(G57-M57)/P57</f>
        <v>1.5937500000000049E-2</v>
      </c>
      <c r="N58" s="2"/>
      <c r="O58" s="67"/>
      <c r="P58" s="67"/>
    </row>
    <row r="59" spans="2:16" x14ac:dyDescent="0.4">
      <c r="B59" s="39" t="s">
        <v>23</v>
      </c>
      <c r="C59" s="50">
        <v>10.606999999999999</v>
      </c>
      <c r="D59" s="50"/>
      <c r="E59" s="50"/>
      <c r="F59" s="54">
        <v>10.629</v>
      </c>
      <c r="G59" s="76">
        <v>10.669</v>
      </c>
      <c r="H59" s="50"/>
      <c r="I59" s="54">
        <v>10.625999999999999</v>
      </c>
      <c r="J59" s="54"/>
      <c r="K59" s="50"/>
      <c r="L59" s="49"/>
      <c r="M59" s="55">
        <v>10.619</v>
      </c>
      <c r="N59" s="2"/>
      <c r="O59" s="67">
        <v>3.2</v>
      </c>
      <c r="P59" s="67">
        <v>3.2</v>
      </c>
    </row>
    <row r="60" spans="2:16" x14ac:dyDescent="0.4">
      <c r="B60" s="40"/>
      <c r="C60" s="69">
        <f>(G59-C59)/O59</f>
        <v>1.9375000000000364E-2</v>
      </c>
      <c r="D60" s="70"/>
      <c r="E60" s="70"/>
      <c r="F60" s="70">
        <f>(G59-F59)/$F$3</f>
        <v>2.0000000000000462E-2</v>
      </c>
      <c r="G60" s="77"/>
      <c r="H60" s="70"/>
      <c r="I60" s="70">
        <f>(G59-I59)/$I$3</f>
        <v>2.1500000000000519E-2</v>
      </c>
      <c r="J60" s="70"/>
      <c r="K60" s="70"/>
      <c r="L60" s="71"/>
      <c r="M60" s="72">
        <f>(G59-M59)/P59</f>
        <v>1.5625000000000222E-2</v>
      </c>
      <c r="N60" s="2"/>
      <c r="O60" s="67"/>
      <c r="P60" s="67"/>
    </row>
    <row r="61" spans="2:16" x14ac:dyDescent="0.4">
      <c r="B61" s="39" t="s">
        <v>39</v>
      </c>
      <c r="C61" s="50">
        <v>10.629</v>
      </c>
      <c r="D61" s="50"/>
      <c r="E61" s="50"/>
      <c r="F61" s="54">
        <v>10.648</v>
      </c>
      <c r="G61" s="76">
        <v>10.686</v>
      </c>
      <c r="H61" s="50"/>
      <c r="I61" s="54">
        <v>10.656000000000001</v>
      </c>
      <c r="J61" s="54"/>
      <c r="K61" s="50"/>
      <c r="L61" s="49"/>
      <c r="M61" s="55">
        <v>10.638999999999999</v>
      </c>
      <c r="N61" s="2"/>
      <c r="O61" s="67">
        <v>3.19</v>
      </c>
      <c r="P61" s="67">
        <v>3.23</v>
      </c>
    </row>
    <row r="62" spans="2:16" x14ac:dyDescent="0.4">
      <c r="B62" s="40"/>
      <c r="C62" s="69">
        <f>(G61-C61)/O61</f>
        <v>1.786833855799385E-2</v>
      </c>
      <c r="D62" s="70"/>
      <c r="E62" s="70"/>
      <c r="F62" s="70">
        <f>(G61-F61)/$F$3</f>
        <v>1.9000000000000128E-2</v>
      </c>
      <c r="G62" s="77"/>
      <c r="H62" s="70"/>
      <c r="I62" s="70">
        <f>(G61-I61)/$I$3</f>
        <v>1.499999999999968E-2</v>
      </c>
      <c r="J62" s="70"/>
      <c r="K62" s="70"/>
      <c r="L62" s="71"/>
      <c r="M62" s="72">
        <f>(G61-M61)/P61</f>
        <v>1.4551083591331454E-2</v>
      </c>
      <c r="N62" s="2"/>
      <c r="O62" s="67"/>
      <c r="P62" s="67"/>
    </row>
    <row r="63" spans="2:16" x14ac:dyDescent="0.4">
      <c r="B63" s="39" t="s">
        <v>24</v>
      </c>
      <c r="C63" s="50">
        <v>10.673999999999999</v>
      </c>
      <c r="D63" s="50"/>
      <c r="E63" s="50"/>
      <c r="F63" s="54">
        <v>10.704000000000001</v>
      </c>
      <c r="G63" s="76">
        <v>10.734999999999999</v>
      </c>
      <c r="H63" s="50"/>
      <c r="I63" s="54">
        <v>10.721</v>
      </c>
      <c r="J63" s="54">
        <v>10.683999999999999</v>
      </c>
      <c r="K63" s="50">
        <v>10.667999999999999</v>
      </c>
      <c r="L63" s="49"/>
      <c r="M63" s="55">
        <v>10.643000000000001</v>
      </c>
      <c r="N63" s="2"/>
      <c r="O63" s="67"/>
      <c r="P63" s="67"/>
    </row>
    <row r="64" spans="2:16" x14ac:dyDescent="0.4">
      <c r="B64" s="40"/>
      <c r="C64" s="69"/>
      <c r="D64" s="70"/>
      <c r="E64" s="70"/>
      <c r="F64" s="70">
        <f>(G63-F63)/$F$3</f>
        <v>1.5499999999999403E-2</v>
      </c>
      <c r="G64" s="77"/>
      <c r="H64" s="70"/>
      <c r="I64" s="70">
        <f>(G63-I63)/$I$3</f>
        <v>6.9999999999996732E-3</v>
      </c>
      <c r="J64" s="70">
        <f>(G63-J63)/$J$3</f>
        <v>1.2750000000000039E-2</v>
      </c>
      <c r="K64" s="70">
        <f>(G63-K63)/K3</f>
        <v>1.1166666666666695E-2</v>
      </c>
      <c r="L64" s="71"/>
      <c r="M64" s="72"/>
      <c r="N64" s="2"/>
      <c r="O64" s="67"/>
      <c r="P64" s="67"/>
    </row>
    <row r="65" spans="2:16" x14ac:dyDescent="0.4">
      <c r="B65" s="39" t="s">
        <v>40</v>
      </c>
      <c r="C65" s="50">
        <v>10.631</v>
      </c>
      <c r="D65" s="50"/>
      <c r="E65" s="50">
        <v>10.654999999999999</v>
      </c>
      <c r="F65" s="54">
        <v>10.676</v>
      </c>
      <c r="G65" s="76">
        <v>10.693</v>
      </c>
      <c r="H65" s="50"/>
      <c r="I65" s="54">
        <v>10.682</v>
      </c>
      <c r="J65" s="54">
        <v>10.683999999999999</v>
      </c>
      <c r="K65" s="50">
        <v>10.683</v>
      </c>
      <c r="L65" s="49">
        <v>10.65</v>
      </c>
      <c r="M65" s="55">
        <v>10.643000000000001</v>
      </c>
      <c r="N65" s="2"/>
      <c r="O65" s="67"/>
      <c r="P65" s="67"/>
    </row>
    <row r="66" spans="2:16" x14ac:dyDescent="0.4">
      <c r="B66" s="40"/>
      <c r="C66" s="69"/>
      <c r="D66" s="70"/>
      <c r="E66" s="70"/>
      <c r="F66" s="70">
        <f>(G65-F65)/$F$3</f>
        <v>8.49999999999973E-3</v>
      </c>
      <c r="G66" s="77"/>
      <c r="H66" s="70"/>
      <c r="I66" s="70">
        <f>(G65-I65)/$I$3</f>
        <v>5.4999999999996163E-3</v>
      </c>
      <c r="J66" s="70">
        <f>(G65-J65)/$J$3</f>
        <v>2.2500000000000853E-3</v>
      </c>
      <c r="K66" s="70">
        <f>(G65-K65)/K3</f>
        <v>1.6666666666666312E-3</v>
      </c>
      <c r="L66" s="71">
        <f>(G65-L65)/L3</f>
        <v>5.3749999999999076E-3</v>
      </c>
      <c r="M66" s="72"/>
      <c r="N66" s="2"/>
      <c r="O66" s="67"/>
      <c r="P66" s="67"/>
    </row>
    <row r="67" spans="2:16" x14ac:dyDescent="0.4">
      <c r="O67" s="67"/>
      <c r="P67" s="67"/>
    </row>
    <row r="68" spans="2:16" x14ac:dyDescent="0.4">
      <c r="O68" s="67"/>
      <c r="P68" s="67"/>
    </row>
    <row r="69" spans="2:16" x14ac:dyDescent="0.4">
      <c r="B69" s="38"/>
      <c r="C69" s="62" t="s">
        <v>30</v>
      </c>
      <c r="D69" s="62"/>
      <c r="E69" s="62"/>
      <c r="F69" s="62"/>
      <c r="G69" s="62"/>
      <c r="H69" s="62"/>
      <c r="I69" s="62"/>
      <c r="J69" s="62"/>
      <c r="K69" s="62"/>
      <c r="L69" s="63"/>
      <c r="M69" s="64"/>
      <c r="O69" s="67"/>
      <c r="P69" s="67"/>
    </row>
    <row r="70" spans="2:16" x14ac:dyDescent="0.4">
      <c r="B70" s="38"/>
      <c r="C70" s="30" t="s">
        <v>26</v>
      </c>
      <c r="D70" s="29">
        <v>6</v>
      </c>
      <c r="E70" s="29">
        <v>4</v>
      </c>
      <c r="F70" s="29">
        <v>2</v>
      </c>
      <c r="G70" s="48" t="s">
        <v>28</v>
      </c>
      <c r="H70" s="29"/>
      <c r="I70" s="29">
        <v>2</v>
      </c>
      <c r="J70" s="29">
        <v>4</v>
      </c>
      <c r="K70" s="29">
        <v>6</v>
      </c>
      <c r="L70" s="34">
        <v>8</v>
      </c>
      <c r="M70" s="31" t="s">
        <v>27</v>
      </c>
      <c r="O70" s="66" t="s">
        <v>26</v>
      </c>
      <c r="P70" s="66" t="s">
        <v>27</v>
      </c>
    </row>
    <row r="71" spans="2:16" x14ac:dyDescent="0.4">
      <c r="B71" s="38"/>
      <c r="C71" s="35" t="s">
        <v>29</v>
      </c>
      <c r="D71" s="36"/>
      <c r="E71" s="36"/>
      <c r="F71" s="36"/>
      <c r="G71" s="36"/>
      <c r="H71" s="36"/>
      <c r="I71" s="36"/>
      <c r="J71" s="36"/>
      <c r="K71" s="36"/>
      <c r="L71" s="36"/>
      <c r="M71" s="37"/>
      <c r="O71" s="67"/>
      <c r="P71" s="67"/>
    </row>
    <row r="72" spans="2:16" x14ac:dyDescent="0.4">
      <c r="B72" s="39" t="s">
        <v>0</v>
      </c>
      <c r="C72" s="49">
        <v>10.64</v>
      </c>
      <c r="D72" s="49"/>
      <c r="E72" s="50"/>
      <c r="F72" s="50">
        <v>10.663</v>
      </c>
      <c r="G72" s="76">
        <v>10.669</v>
      </c>
      <c r="H72" s="50"/>
      <c r="I72" s="50">
        <v>10.608000000000001</v>
      </c>
      <c r="J72" s="51"/>
      <c r="K72" s="52"/>
      <c r="L72" s="50"/>
      <c r="M72" s="53">
        <v>10.56</v>
      </c>
      <c r="O72" s="67">
        <v>3.26</v>
      </c>
      <c r="P72" s="67">
        <v>3.09</v>
      </c>
    </row>
    <row r="73" spans="2:16" s="8" customFormat="1" x14ac:dyDescent="0.4">
      <c r="B73" s="40"/>
      <c r="C73" s="69">
        <f>(G72-C72)/O72</f>
        <v>8.8957055214723673E-3</v>
      </c>
      <c r="D73" s="70"/>
      <c r="E73" s="70"/>
      <c r="F73" s="70">
        <f>(G72-F72)/$F$70</f>
        <v>3.0000000000001137E-3</v>
      </c>
      <c r="G73" s="77"/>
      <c r="H73" s="70"/>
      <c r="I73" s="70">
        <f>(G72-I72)/$I$70</f>
        <v>3.0499999999999972E-2</v>
      </c>
      <c r="J73" s="70"/>
      <c r="K73" s="70"/>
      <c r="L73" s="71"/>
      <c r="M73" s="72">
        <f>(G72-M72)/P72</f>
        <v>3.5275080906148865E-2</v>
      </c>
      <c r="O73" s="75"/>
      <c r="P73" s="75"/>
    </row>
    <row r="74" spans="2:16" x14ac:dyDescent="0.4">
      <c r="B74" s="39" t="s">
        <v>1</v>
      </c>
      <c r="C74" s="50">
        <v>10.675000000000001</v>
      </c>
      <c r="D74" s="50"/>
      <c r="E74" s="50"/>
      <c r="F74" s="54">
        <v>10.675000000000001</v>
      </c>
      <c r="G74" s="76">
        <v>10.677</v>
      </c>
      <c r="H74" s="50"/>
      <c r="I74" s="54">
        <v>10.645</v>
      </c>
      <c r="J74" s="54"/>
      <c r="K74" s="50"/>
      <c r="L74" s="49"/>
      <c r="M74" s="55">
        <v>10.587999999999999</v>
      </c>
      <c r="O74" s="67">
        <v>3.1</v>
      </c>
      <c r="P74" s="67">
        <v>3.2</v>
      </c>
    </row>
    <row r="75" spans="2:16" x14ac:dyDescent="0.4">
      <c r="B75" s="40"/>
      <c r="C75" s="69">
        <f>(G74-C74)/O74</f>
        <v>6.4516129032222307E-4</v>
      </c>
      <c r="D75" s="70"/>
      <c r="E75" s="70"/>
      <c r="F75" s="70">
        <f>(G74-F74)/$F$70</f>
        <v>9.9999999999944578E-4</v>
      </c>
      <c r="G75" s="77"/>
      <c r="H75" s="70"/>
      <c r="I75" s="70">
        <f>(G74-I74)/$I$70</f>
        <v>1.6000000000000014E-2</v>
      </c>
      <c r="J75" s="70"/>
      <c r="K75" s="70"/>
      <c r="L75" s="71"/>
      <c r="M75" s="72">
        <f>(G74-M74)/P74</f>
        <v>2.7812500000000129E-2</v>
      </c>
      <c r="O75" s="67"/>
      <c r="P75" s="67"/>
    </row>
    <row r="76" spans="2:16" x14ac:dyDescent="0.4">
      <c r="B76" s="39" t="s">
        <v>41</v>
      </c>
      <c r="C76" s="50">
        <v>10.688000000000001</v>
      </c>
      <c r="D76" s="50"/>
      <c r="E76" s="50"/>
      <c r="F76" s="54">
        <v>10.69</v>
      </c>
      <c r="G76" s="76">
        <v>10.702</v>
      </c>
      <c r="H76" s="50"/>
      <c r="I76" s="54">
        <v>10.645</v>
      </c>
      <c r="J76" s="54"/>
      <c r="K76" s="50"/>
      <c r="L76" s="49"/>
      <c r="M76" s="55">
        <v>10.603</v>
      </c>
      <c r="O76" s="67">
        <v>3.02</v>
      </c>
      <c r="P76" s="67">
        <v>3.13</v>
      </c>
    </row>
    <row r="77" spans="2:16" x14ac:dyDescent="0.4">
      <c r="B77" s="40"/>
      <c r="C77" s="69">
        <f>(G76-C76)/O76</f>
        <v>4.6357615894037571E-3</v>
      </c>
      <c r="D77" s="70"/>
      <c r="E77" s="70"/>
      <c r="F77" s="70">
        <f>(G76-F76)/$F$70</f>
        <v>6.0000000000002274E-3</v>
      </c>
      <c r="G77" s="77"/>
      <c r="H77" s="70"/>
      <c r="I77" s="70">
        <f>(G76-I76)/$I$70</f>
        <v>2.8500000000000192E-2</v>
      </c>
      <c r="J77" s="70"/>
      <c r="K77" s="70"/>
      <c r="L77" s="71"/>
      <c r="M77" s="72">
        <f>(G76-M76)/P76</f>
        <v>3.1629392971246069E-2</v>
      </c>
      <c r="O77" s="67"/>
      <c r="P77" s="67"/>
    </row>
    <row r="78" spans="2:16" x14ac:dyDescent="0.4">
      <c r="B78" s="39" t="s">
        <v>2</v>
      </c>
      <c r="C78" s="50">
        <v>10.609</v>
      </c>
      <c r="D78" s="50"/>
      <c r="E78" s="50"/>
      <c r="F78" s="54">
        <v>10.635999999999999</v>
      </c>
      <c r="G78" s="76">
        <v>10.669</v>
      </c>
      <c r="H78" s="50"/>
      <c r="I78" s="54">
        <v>10.651999999999999</v>
      </c>
      <c r="J78" s="54"/>
      <c r="K78" s="50"/>
      <c r="L78" s="49"/>
      <c r="M78" s="55">
        <v>10.605</v>
      </c>
      <c r="O78" s="67">
        <v>3.23</v>
      </c>
      <c r="P78" s="67">
        <v>3.15</v>
      </c>
    </row>
    <row r="79" spans="2:16" x14ac:dyDescent="0.4">
      <c r="B79" s="40"/>
      <c r="C79" s="69">
        <f>(G78-C78)/O78</f>
        <v>1.857585139318901E-2</v>
      </c>
      <c r="D79" s="70"/>
      <c r="E79" s="70"/>
      <c r="F79" s="70">
        <f>(G78-F78)/$F$70</f>
        <v>1.6500000000000625E-2</v>
      </c>
      <c r="G79" s="77"/>
      <c r="H79" s="70"/>
      <c r="I79" s="70">
        <f>(G78-I78)/$I$70</f>
        <v>8.5000000000006182E-3</v>
      </c>
      <c r="J79" s="70"/>
      <c r="K79" s="70"/>
      <c r="L79" s="71"/>
      <c r="M79" s="72">
        <f>(G78-M78)/P78</f>
        <v>2.0317460317460335E-2</v>
      </c>
      <c r="O79" s="67"/>
      <c r="P79" s="67"/>
    </row>
    <row r="80" spans="2:16" x14ac:dyDescent="0.4">
      <c r="B80" s="39" t="s">
        <v>42</v>
      </c>
      <c r="C80" s="57">
        <v>10.553000000000001</v>
      </c>
      <c r="D80" s="57"/>
      <c r="E80" s="57"/>
      <c r="F80" s="58">
        <v>10.592000000000001</v>
      </c>
      <c r="G80" s="76">
        <v>10.643000000000001</v>
      </c>
      <c r="H80" s="57"/>
      <c r="I80" s="58">
        <v>10.615</v>
      </c>
      <c r="J80" s="58"/>
      <c r="K80" s="57"/>
      <c r="L80" s="59"/>
      <c r="M80" s="60">
        <v>10.569000000000001</v>
      </c>
      <c r="O80" s="67">
        <v>3.15</v>
      </c>
      <c r="P80" s="67">
        <v>3.1</v>
      </c>
    </row>
    <row r="81" spans="2:16" x14ac:dyDescent="0.4">
      <c r="B81" s="40"/>
      <c r="C81" s="69">
        <f>(G80-C80)/O80</f>
        <v>2.8571428571428525E-2</v>
      </c>
      <c r="D81" s="70"/>
      <c r="E81" s="70"/>
      <c r="F81" s="70">
        <f>(G80-F80)/$F$70</f>
        <v>2.5500000000000078E-2</v>
      </c>
      <c r="G81" s="77"/>
      <c r="H81" s="70"/>
      <c r="I81" s="70">
        <f>(G80-I80)/$I$70</f>
        <v>1.4000000000000234E-2</v>
      </c>
      <c r="J81" s="70"/>
      <c r="K81" s="70"/>
      <c r="L81" s="71"/>
      <c r="M81" s="72">
        <f>(G80-M80)/P80</f>
        <v>2.3870967741935433E-2</v>
      </c>
      <c r="O81" s="67"/>
      <c r="P81" s="67"/>
    </row>
  </sheetData>
  <mergeCells count="76">
    <mergeCell ref="B78:B79"/>
    <mergeCell ref="G78:G79"/>
    <mergeCell ref="B80:B81"/>
    <mergeCell ref="G80:G81"/>
    <mergeCell ref="B72:B73"/>
    <mergeCell ref="G72:G73"/>
    <mergeCell ref="B74:B75"/>
    <mergeCell ref="G74:G75"/>
    <mergeCell ref="B76:B77"/>
    <mergeCell ref="G76:G77"/>
    <mergeCell ref="B63:B64"/>
    <mergeCell ref="G63:G64"/>
    <mergeCell ref="B65:B66"/>
    <mergeCell ref="G65:G66"/>
    <mergeCell ref="C69:M69"/>
    <mergeCell ref="C71:M71"/>
    <mergeCell ref="B57:B58"/>
    <mergeCell ref="G57:G58"/>
    <mergeCell ref="B59:B60"/>
    <mergeCell ref="G59:G60"/>
    <mergeCell ref="B61:B62"/>
    <mergeCell ref="G61:G62"/>
    <mergeCell ref="B51:B52"/>
    <mergeCell ref="G51:G52"/>
    <mergeCell ref="B53:B54"/>
    <mergeCell ref="G53:G54"/>
    <mergeCell ref="B55:B56"/>
    <mergeCell ref="G55:G56"/>
    <mergeCell ref="B45:B46"/>
    <mergeCell ref="G45:G46"/>
    <mergeCell ref="B47:B48"/>
    <mergeCell ref="G47:G48"/>
    <mergeCell ref="B49:B50"/>
    <mergeCell ref="G49:G50"/>
    <mergeCell ref="B39:B40"/>
    <mergeCell ref="G39:G40"/>
    <mergeCell ref="B41:B42"/>
    <mergeCell ref="G41:G42"/>
    <mergeCell ref="B43:B44"/>
    <mergeCell ref="G43:G44"/>
    <mergeCell ref="B33:B34"/>
    <mergeCell ref="G33:G34"/>
    <mergeCell ref="B35:B36"/>
    <mergeCell ref="G35:G36"/>
    <mergeCell ref="B37:B38"/>
    <mergeCell ref="G37:G38"/>
    <mergeCell ref="B27:B28"/>
    <mergeCell ref="G27:G28"/>
    <mergeCell ref="B29:B30"/>
    <mergeCell ref="G29:G30"/>
    <mergeCell ref="B31:B32"/>
    <mergeCell ref="G31:G32"/>
    <mergeCell ref="B21:B22"/>
    <mergeCell ref="G21:G22"/>
    <mergeCell ref="B23:B24"/>
    <mergeCell ref="G23:G24"/>
    <mergeCell ref="B25:B26"/>
    <mergeCell ref="G25:G26"/>
    <mergeCell ref="B15:B16"/>
    <mergeCell ref="G15:G16"/>
    <mergeCell ref="B17:B18"/>
    <mergeCell ref="G17:G18"/>
    <mergeCell ref="B19:B20"/>
    <mergeCell ref="G19:G20"/>
    <mergeCell ref="B9:B10"/>
    <mergeCell ref="G9:G10"/>
    <mergeCell ref="B11:B12"/>
    <mergeCell ref="G11:G12"/>
    <mergeCell ref="B13:B14"/>
    <mergeCell ref="G13:G14"/>
    <mergeCell ref="C2:M2"/>
    <mergeCell ref="C4:M4"/>
    <mergeCell ref="B5:B6"/>
    <mergeCell ref="G5:G6"/>
    <mergeCell ref="B7:B8"/>
    <mergeCell ref="G7:G8"/>
  </mergeCells>
  <phoneticPr fontId="1"/>
  <pageMargins left="0.70866141732283472" right="0.70866141732283472" top="0.74803149606299213" bottom="0.74803149606299213" header="0.31496062992125984" footer="0.31496062992125984"/>
  <pageSetup paperSize="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1CA65-7061-4594-997A-3CDA850CA177}">
  <sheetPr>
    <tabColor theme="8" tint="0.79998168889431442"/>
  </sheetPr>
  <dimension ref="B2:P81"/>
  <sheetViews>
    <sheetView tabSelected="1" workbookViewId="0">
      <selection activeCell="T63" sqref="T63"/>
    </sheetView>
  </sheetViews>
  <sheetFormatPr defaultRowHeight="18.75" x14ac:dyDescent="0.4"/>
  <cols>
    <col min="2" max="2" width="25.625" style="41" customWidth="1"/>
    <col min="3" max="3" width="8.875" style="85" customWidth="1"/>
    <col min="4" max="6" width="8.875" style="47" customWidth="1"/>
    <col min="7" max="7" width="8.875" style="94" customWidth="1"/>
    <col min="8" max="12" width="8.875" style="47" customWidth="1"/>
    <col min="13" max="13" width="9" style="85"/>
    <col min="15" max="16" width="9" style="1"/>
  </cols>
  <sheetData>
    <row r="2" spans="2:16" x14ac:dyDescent="0.4">
      <c r="B2" s="38"/>
      <c r="C2" s="62" t="s">
        <v>50</v>
      </c>
      <c r="D2" s="62"/>
      <c r="E2" s="62"/>
      <c r="F2" s="62"/>
      <c r="G2" s="62"/>
      <c r="H2" s="62"/>
      <c r="I2" s="62"/>
      <c r="J2" s="62"/>
      <c r="K2" s="62"/>
      <c r="L2" s="63"/>
      <c r="M2" s="64"/>
      <c r="N2" s="1"/>
    </row>
    <row r="3" spans="2:16" x14ac:dyDescent="0.4">
      <c r="B3" s="38"/>
      <c r="C3" s="46" t="s">
        <v>26</v>
      </c>
      <c r="D3" s="29">
        <v>6</v>
      </c>
      <c r="E3" s="29">
        <v>4</v>
      </c>
      <c r="F3" s="29">
        <v>2</v>
      </c>
      <c r="G3" s="91" t="s">
        <v>28</v>
      </c>
      <c r="H3" s="65" t="s">
        <v>45</v>
      </c>
      <c r="I3" s="29">
        <v>2</v>
      </c>
      <c r="J3" s="29">
        <v>4</v>
      </c>
      <c r="K3" s="29">
        <v>6</v>
      </c>
      <c r="L3" s="34">
        <v>8</v>
      </c>
      <c r="M3" s="86" t="s">
        <v>27</v>
      </c>
      <c r="N3" s="1"/>
      <c r="O3" s="66" t="s">
        <v>26</v>
      </c>
      <c r="P3" s="66" t="s">
        <v>27</v>
      </c>
    </row>
    <row r="4" spans="2:16" x14ac:dyDescent="0.4">
      <c r="B4" s="38"/>
      <c r="C4" s="35" t="s">
        <v>29</v>
      </c>
      <c r="D4" s="36"/>
      <c r="E4" s="36"/>
      <c r="F4" s="36"/>
      <c r="G4" s="36"/>
      <c r="H4" s="36"/>
      <c r="I4" s="36"/>
      <c r="J4" s="36"/>
      <c r="K4" s="36"/>
      <c r="L4" s="36"/>
      <c r="M4" s="37"/>
      <c r="N4" s="1"/>
    </row>
    <row r="5" spans="2:16" x14ac:dyDescent="0.4">
      <c r="B5" s="39" t="s">
        <v>0</v>
      </c>
      <c r="C5" s="81">
        <v>9.7159999999999993</v>
      </c>
      <c r="D5" s="49"/>
      <c r="E5" s="50"/>
      <c r="F5" s="50">
        <v>9.7609999999999992</v>
      </c>
      <c r="G5" s="92">
        <v>9.81</v>
      </c>
      <c r="H5" s="50"/>
      <c r="I5" s="50">
        <v>9.827</v>
      </c>
      <c r="J5" s="51">
        <v>9.7420000000000009</v>
      </c>
      <c r="K5" s="52"/>
      <c r="L5" s="50"/>
      <c r="M5" s="87">
        <v>9.6809999999999992</v>
      </c>
      <c r="N5" s="1"/>
      <c r="O5" s="67">
        <v>2.99</v>
      </c>
      <c r="P5" s="67">
        <v>5.38</v>
      </c>
    </row>
    <row r="6" spans="2:16" s="8" customFormat="1" x14ac:dyDescent="0.4">
      <c r="B6" s="40"/>
      <c r="C6" s="82">
        <f>(G5-C5)/O5</f>
        <v>3.1438127090301402E-2</v>
      </c>
      <c r="D6" s="70"/>
      <c r="E6" s="70"/>
      <c r="F6" s="70">
        <f>(G5-F5)/$F$3</f>
        <v>2.4500000000000632E-2</v>
      </c>
      <c r="G6" s="93"/>
      <c r="H6" s="70"/>
      <c r="I6" s="70">
        <f>(G5-I5)/$I$3</f>
        <v>-8.49999999999973E-3</v>
      </c>
      <c r="J6" s="70">
        <f>(G5-J5)/$J$3</f>
        <v>1.6999999999999904E-2</v>
      </c>
      <c r="K6" s="70"/>
      <c r="L6" s="71"/>
      <c r="M6" s="88">
        <f>(G5-M5)/P5</f>
        <v>2.3977695167286494E-2</v>
      </c>
      <c r="N6" s="73"/>
      <c r="O6" s="74"/>
      <c r="P6" s="74"/>
    </row>
    <row r="7" spans="2:16" x14ac:dyDescent="0.4">
      <c r="B7" s="39" t="s">
        <v>1</v>
      </c>
      <c r="C7" s="83">
        <v>9.8249999999999993</v>
      </c>
      <c r="D7" s="50"/>
      <c r="E7" s="50"/>
      <c r="F7" s="54">
        <v>9.8469999999999995</v>
      </c>
      <c r="G7" s="92">
        <v>9.8379999999999992</v>
      </c>
      <c r="H7" s="50"/>
      <c r="I7" s="54">
        <v>9.8119999999999994</v>
      </c>
      <c r="J7" s="54">
        <v>9.7829999999999995</v>
      </c>
      <c r="K7" s="50"/>
      <c r="L7" s="49"/>
      <c r="M7" s="89">
        <v>9.7430000000000003</v>
      </c>
      <c r="N7" s="2"/>
      <c r="O7" s="67">
        <v>2.97</v>
      </c>
      <c r="P7" s="67">
        <v>5.4</v>
      </c>
    </row>
    <row r="8" spans="2:16" x14ac:dyDescent="0.4">
      <c r="B8" s="40"/>
      <c r="C8" s="82">
        <f>(G7-C7)/O7</f>
        <v>4.3771043771043431E-3</v>
      </c>
      <c r="D8" s="70"/>
      <c r="E8" s="70"/>
      <c r="F8" s="70">
        <f>(G7-F7)/$F$3</f>
        <v>-4.5000000000001705E-3</v>
      </c>
      <c r="G8" s="93"/>
      <c r="H8" s="70"/>
      <c r="I8" s="70">
        <f>(G7-I7)/$I$3</f>
        <v>1.2999999999999901E-2</v>
      </c>
      <c r="J8" s="70">
        <f>(G7-J7)/$J$3</f>
        <v>1.3749999999999929E-2</v>
      </c>
      <c r="K8" s="70"/>
      <c r="L8" s="71"/>
      <c r="M8" s="88">
        <f>(G7-M7)/P7</f>
        <v>1.7592592592592382E-2</v>
      </c>
      <c r="N8" s="2"/>
      <c r="O8" s="67"/>
      <c r="P8" s="67"/>
    </row>
    <row r="9" spans="2:16" x14ac:dyDescent="0.4">
      <c r="B9" s="39" t="s">
        <v>2</v>
      </c>
      <c r="C9" s="83">
        <v>9.8689999999999998</v>
      </c>
      <c r="D9" s="50"/>
      <c r="E9" s="50"/>
      <c r="F9" s="54">
        <v>9.8740000000000006</v>
      </c>
      <c r="G9" s="92">
        <v>9.8659999999999997</v>
      </c>
      <c r="H9" s="50"/>
      <c r="I9" s="54">
        <v>9.8789999999999996</v>
      </c>
      <c r="J9" s="54">
        <v>9.8650000000000002</v>
      </c>
      <c r="K9" s="50"/>
      <c r="L9" s="49"/>
      <c r="M9" s="89">
        <v>9.8350000000000009</v>
      </c>
      <c r="N9" s="2"/>
      <c r="O9" s="67">
        <v>2.95</v>
      </c>
      <c r="P9" s="67">
        <v>5.4</v>
      </c>
    </row>
    <row r="10" spans="2:16" x14ac:dyDescent="0.4">
      <c r="B10" s="40"/>
      <c r="C10" s="82">
        <f>(G9-C9)/O9</f>
        <v>-1.0169491525424113E-3</v>
      </c>
      <c r="D10" s="70"/>
      <c r="E10" s="70"/>
      <c r="F10" s="70">
        <f>(G9-F9)/$F$3</f>
        <v>-4.0000000000004476E-3</v>
      </c>
      <c r="G10" s="93"/>
      <c r="H10" s="70"/>
      <c r="I10" s="70">
        <f>(G9-I9)/$I$3</f>
        <v>-6.4999999999999503E-3</v>
      </c>
      <c r="J10" s="70">
        <f>(G9-J9)/$J$3</f>
        <v>2.4999999999986144E-4</v>
      </c>
      <c r="K10" s="70"/>
      <c r="L10" s="71"/>
      <c r="M10" s="88">
        <f>(G9-M9)/P9</f>
        <v>5.7407407407405195E-3</v>
      </c>
      <c r="N10" s="2"/>
      <c r="O10" s="67"/>
      <c r="P10" s="67"/>
    </row>
    <row r="11" spans="2:16" x14ac:dyDescent="0.4">
      <c r="B11" s="39" t="s">
        <v>3</v>
      </c>
      <c r="C11" s="83">
        <v>9.8829999999999991</v>
      </c>
      <c r="D11" s="50"/>
      <c r="E11" s="50"/>
      <c r="F11" s="54">
        <v>9.9019999999999992</v>
      </c>
      <c r="G11" s="92">
        <v>9.8940000000000001</v>
      </c>
      <c r="H11" s="50"/>
      <c r="I11" s="54">
        <v>9.9190000000000005</v>
      </c>
      <c r="J11" s="54">
        <v>9.9019999999999992</v>
      </c>
      <c r="K11" s="50"/>
      <c r="L11" s="49"/>
      <c r="M11" s="89">
        <v>9.8780000000000001</v>
      </c>
      <c r="N11" s="2"/>
      <c r="O11" s="67">
        <v>2.92</v>
      </c>
      <c r="P11" s="67">
        <v>5.25</v>
      </c>
    </row>
    <row r="12" spans="2:16" x14ac:dyDescent="0.4">
      <c r="B12" s="40"/>
      <c r="C12" s="82">
        <f>(G11-C11)/O11</f>
        <v>3.7671232876715787E-3</v>
      </c>
      <c r="D12" s="70"/>
      <c r="E12" s="70"/>
      <c r="F12" s="70">
        <f>(G11-F11)/$F$3</f>
        <v>-3.9999999999995595E-3</v>
      </c>
      <c r="G12" s="93"/>
      <c r="H12" s="70"/>
      <c r="I12" s="70">
        <f>(G11-I11)/$I$3</f>
        <v>-1.2500000000000178E-2</v>
      </c>
      <c r="J12" s="70">
        <f>(G11-J11)/$J$3</f>
        <v>-1.9999999999997797E-3</v>
      </c>
      <c r="K12" s="70"/>
      <c r="L12" s="71"/>
      <c r="M12" s="88">
        <f>(G11-M11)/P11</f>
        <v>3.0476190476190503E-3</v>
      </c>
      <c r="N12" s="2"/>
      <c r="O12" s="67"/>
      <c r="P12" s="67"/>
    </row>
    <row r="13" spans="2:16" x14ac:dyDescent="0.4">
      <c r="B13" s="44" t="s">
        <v>34</v>
      </c>
      <c r="C13" s="83">
        <v>9.8719999999999999</v>
      </c>
      <c r="D13" s="50"/>
      <c r="E13" s="50"/>
      <c r="F13" s="54">
        <v>9.8930000000000007</v>
      </c>
      <c r="G13" s="92">
        <v>9.9090000000000007</v>
      </c>
      <c r="H13" s="56">
        <v>9.9550000000000001</v>
      </c>
      <c r="I13" s="54">
        <v>9.9160000000000004</v>
      </c>
      <c r="J13" s="54">
        <v>9.8960000000000008</v>
      </c>
      <c r="K13" s="50"/>
      <c r="L13" s="49"/>
      <c r="M13" s="89">
        <v>9.8729999999999993</v>
      </c>
      <c r="N13" s="2"/>
      <c r="O13" s="67">
        <v>2.93</v>
      </c>
      <c r="P13" s="67">
        <v>5.13</v>
      </c>
    </row>
    <row r="14" spans="2:16" x14ac:dyDescent="0.4">
      <c r="B14" s="45"/>
      <c r="C14" s="82">
        <f>(G13-C13)/O13</f>
        <v>1.2627986348123142E-2</v>
      </c>
      <c r="D14" s="70"/>
      <c r="E14" s="70"/>
      <c r="F14" s="70">
        <f>(G13-F13)/$F$3</f>
        <v>8.0000000000000071E-3</v>
      </c>
      <c r="G14" s="93"/>
      <c r="H14" s="70"/>
      <c r="I14" s="70">
        <f>(G13-I13)/$I$3</f>
        <v>-3.4999999999998366E-3</v>
      </c>
      <c r="J14" s="70">
        <f>(G13-J13)/$J$3</f>
        <v>3.2499999999999751E-3</v>
      </c>
      <c r="K14" s="70"/>
      <c r="L14" s="71"/>
      <c r="M14" s="88">
        <f>(G13-M13)/P13</f>
        <v>7.0175438596493892E-3</v>
      </c>
      <c r="N14" s="2"/>
      <c r="O14" s="67"/>
      <c r="P14" s="67"/>
    </row>
    <row r="15" spans="2:16" s="43" customFormat="1" x14ac:dyDescent="0.4">
      <c r="B15" s="39" t="s">
        <v>5</v>
      </c>
      <c r="C15" s="84">
        <v>9.9030000000000005</v>
      </c>
      <c r="D15" s="57"/>
      <c r="E15" s="57"/>
      <c r="F15" s="58">
        <v>9.9169999999999998</v>
      </c>
      <c r="G15" s="92">
        <v>9.9220000000000006</v>
      </c>
      <c r="H15" s="57"/>
      <c r="I15" s="58">
        <v>9.9469999999999992</v>
      </c>
      <c r="J15" s="58">
        <v>9.9149999999999991</v>
      </c>
      <c r="K15" s="57"/>
      <c r="L15" s="59"/>
      <c r="M15" s="90">
        <v>9.8839999999999986</v>
      </c>
      <c r="N15" s="42"/>
      <c r="O15" s="68">
        <v>3</v>
      </c>
      <c r="P15" s="68">
        <v>4.97</v>
      </c>
    </row>
    <row r="16" spans="2:16" x14ac:dyDescent="0.4">
      <c r="B16" s="40"/>
      <c r="C16" s="82">
        <f>(G15-C15)/O15</f>
        <v>6.3333333333333757E-3</v>
      </c>
      <c r="D16" s="70"/>
      <c r="E16" s="70"/>
      <c r="F16" s="70">
        <f>(G15-F15)/$F$3</f>
        <v>2.5000000000003908E-3</v>
      </c>
      <c r="G16" s="93"/>
      <c r="H16" s="70"/>
      <c r="I16" s="70">
        <f>(G15-I15)/$I$3</f>
        <v>-1.2499999999999289E-2</v>
      </c>
      <c r="J16" s="70">
        <f>(G15-J15)/$J$3</f>
        <v>1.7500000000003624E-3</v>
      </c>
      <c r="K16" s="70"/>
      <c r="L16" s="71"/>
      <c r="M16" s="88">
        <f>(G15-M15)/P15</f>
        <v>7.6458752515094633E-3</v>
      </c>
      <c r="N16" s="2"/>
      <c r="O16" s="67"/>
      <c r="P16" s="67"/>
    </row>
    <row r="17" spans="2:16" x14ac:dyDescent="0.4">
      <c r="B17" s="39" t="s">
        <v>6</v>
      </c>
      <c r="C17" s="83">
        <v>9.9260000000000002</v>
      </c>
      <c r="D17" s="50"/>
      <c r="E17" s="50"/>
      <c r="F17" s="54">
        <v>9.9440000000000008</v>
      </c>
      <c r="G17" s="92">
        <v>9.9499999999999993</v>
      </c>
      <c r="H17" s="50"/>
      <c r="I17" s="54">
        <v>9.9600000000000009</v>
      </c>
      <c r="J17" s="54">
        <v>9.9280000000000008</v>
      </c>
      <c r="K17" s="50"/>
      <c r="L17" s="49"/>
      <c r="M17" s="89">
        <v>9.9120000000000008</v>
      </c>
      <c r="N17" s="2"/>
      <c r="O17" s="67">
        <v>3.05</v>
      </c>
      <c r="P17" s="67">
        <v>4.46</v>
      </c>
    </row>
    <row r="18" spans="2:16" x14ac:dyDescent="0.4">
      <c r="B18" s="40"/>
      <c r="C18" s="82">
        <f>(G17-C17)/O17</f>
        <v>7.8688524590161089E-3</v>
      </c>
      <c r="D18" s="70"/>
      <c r="E18" s="70"/>
      <c r="F18" s="70">
        <f>(G17-F17)/$F$3</f>
        <v>2.9999999999992255E-3</v>
      </c>
      <c r="G18" s="93"/>
      <c r="H18" s="70"/>
      <c r="I18" s="70">
        <f>(G17-I17)/$I$3</f>
        <v>-5.0000000000007816E-3</v>
      </c>
      <c r="J18" s="70">
        <f>(G17-J17)/$J$3</f>
        <v>5.4999999999996163E-3</v>
      </c>
      <c r="K18" s="70"/>
      <c r="L18" s="71"/>
      <c r="M18" s="88">
        <f>(G17-M17)/P17</f>
        <v>8.5201793721969687E-3</v>
      </c>
      <c r="N18" s="2"/>
      <c r="O18" s="67"/>
      <c r="P18" s="67"/>
    </row>
    <row r="19" spans="2:16" x14ac:dyDescent="0.4">
      <c r="B19" s="39" t="s">
        <v>7</v>
      </c>
      <c r="C19" s="83">
        <v>10.038</v>
      </c>
      <c r="D19" s="50"/>
      <c r="E19" s="50"/>
      <c r="F19" s="54">
        <v>10.036</v>
      </c>
      <c r="G19" s="92">
        <v>9.9779999999999998</v>
      </c>
      <c r="H19" s="50"/>
      <c r="I19" s="54">
        <v>9.9969999999999999</v>
      </c>
      <c r="J19" s="54"/>
      <c r="K19" s="50"/>
      <c r="L19" s="49"/>
      <c r="M19" s="89">
        <v>9.9559999999999995</v>
      </c>
      <c r="N19" s="2"/>
      <c r="O19" s="67">
        <v>3.2</v>
      </c>
      <c r="P19" s="67">
        <v>3.9</v>
      </c>
    </row>
    <row r="20" spans="2:16" x14ac:dyDescent="0.4">
      <c r="B20" s="40"/>
      <c r="C20" s="82">
        <f>(G19-C19)/O19</f>
        <v>-1.8750000000000155E-2</v>
      </c>
      <c r="D20" s="70"/>
      <c r="E20" s="70"/>
      <c r="F20" s="70">
        <f>(G19-F19)/$F$3</f>
        <v>-2.8999999999999915E-2</v>
      </c>
      <c r="G20" s="93"/>
      <c r="H20" s="70"/>
      <c r="I20" s="70">
        <f>(G19-I19)/$I$3</f>
        <v>-9.5000000000000639E-3</v>
      </c>
      <c r="J20" s="70"/>
      <c r="K20" s="70"/>
      <c r="L20" s="71"/>
      <c r="M20" s="88">
        <f>(G19-M19)/P19</f>
        <v>5.641025641025703E-3</v>
      </c>
      <c r="N20" s="2"/>
      <c r="O20" s="67"/>
      <c r="P20" s="67"/>
    </row>
    <row r="21" spans="2:16" x14ac:dyDescent="0.4">
      <c r="B21" s="44" t="s">
        <v>35</v>
      </c>
      <c r="C21" s="83">
        <v>10.052</v>
      </c>
      <c r="D21" s="50"/>
      <c r="E21" s="50"/>
      <c r="F21" s="54">
        <v>10.055999999999999</v>
      </c>
      <c r="G21" s="92">
        <v>9.9870000000000001</v>
      </c>
      <c r="H21" s="56">
        <v>10.039</v>
      </c>
      <c r="I21" s="54">
        <v>10.007999999999999</v>
      </c>
      <c r="J21" s="54"/>
      <c r="K21" s="50"/>
      <c r="L21" s="49"/>
      <c r="M21" s="89">
        <v>9.9589999999999996</v>
      </c>
      <c r="N21" s="2"/>
      <c r="O21" s="67">
        <v>3.14</v>
      </c>
      <c r="P21" s="67">
        <v>3.79</v>
      </c>
    </row>
    <row r="22" spans="2:16" x14ac:dyDescent="0.4">
      <c r="B22" s="45"/>
      <c r="C22" s="82">
        <f>(G21-C21)/O21</f>
        <v>-2.0700636942674999E-2</v>
      </c>
      <c r="D22" s="70"/>
      <c r="E22" s="70"/>
      <c r="F22" s="70">
        <f>(G21-F21)/$F$3</f>
        <v>-3.4499999999999531E-2</v>
      </c>
      <c r="G22" s="93"/>
      <c r="H22" s="70"/>
      <c r="I22" s="70">
        <f>(G21-I21)/$I$3</f>
        <v>-1.049999999999951E-2</v>
      </c>
      <c r="J22" s="70"/>
      <c r="K22" s="70"/>
      <c r="L22" s="71"/>
      <c r="M22" s="88">
        <f>(G21-M21)/P21</f>
        <v>7.3878627968338969E-3</v>
      </c>
      <c r="N22" s="2"/>
      <c r="O22" s="67"/>
      <c r="P22" s="67"/>
    </row>
    <row r="23" spans="2:16" x14ac:dyDescent="0.4">
      <c r="B23" s="39" t="s">
        <v>8</v>
      </c>
      <c r="C23" s="83">
        <v>10.002000000000001</v>
      </c>
      <c r="D23" s="50"/>
      <c r="E23" s="50"/>
      <c r="F23" s="54">
        <v>10.013999999999999</v>
      </c>
      <c r="G23" s="92">
        <v>10.006</v>
      </c>
      <c r="H23" s="50"/>
      <c r="I23" s="54">
        <v>10.006</v>
      </c>
      <c r="J23" s="54"/>
      <c r="K23" s="50"/>
      <c r="L23" s="49"/>
      <c r="M23" s="89">
        <v>9.968</v>
      </c>
      <c r="N23" s="2"/>
      <c r="O23" s="67">
        <v>3.18</v>
      </c>
      <c r="P23" s="67">
        <v>3.47</v>
      </c>
    </row>
    <row r="24" spans="2:16" x14ac:dyDescent="0.4">
      <c r="B24" s="40"/>
      <c r="C24" s="82">
        <f>(G23-C23)/O23</f>
        <v>1.2578616352199872E-3</v>
      </c>
      <c r="D24" s="70"/>
      <c r="E24" s="70"/>
      <c r="F24" s="70">
        <f>(G23-F23)/$F$3</f>
        <v>-3.9999999999995595E-3</v>
      </c>
      <c r="G24" s="93"/>
      <c r="H24" s="70"/>
      <c r="I24" s="70">
        <f>(G23-I23)/$I$3</f>
        <v>0</v>
      </c>
      <c r="J24" s="70"/>
      <c r="K24" s="70"/>
      <c r="L24" s="71"/>
      <c r="M24" s="88">
        <f>(G23-M23)/P23</f>
        <v>1.0951008645533214E-2</v>
      </c>
      <c r="N24" s="2"/>
      <c r="O24" s="67"/>
      <c r="P24" s="67"/>
    </row>
    <row r="25" spans="2:16" x14ac:dyDescent="0.4">
      <c r="B25" s="39" t="s">
        <v>9</v>
      </c>
      <c r="C25" s="83">
        <v>9.9960000000000004</v>
      </c>
      <c r="D25" s="50"/>
      <c r="E25" s="50"/>
      <c r="F25" s="54">
        <v>10.016999999999999</v>
      </c>
      <c r="G25" s="92">
        <v>10.034000000000001</v>
      </c>
      <c r="H25" s="50"/>
      <c r="I25" s="54">
        <v>10.015000000000001</v>
      </c>
      <c r="J25" s="54"/>
      <c r="K25" s="50"/>
      <c r="L25" s="49"/>
      <c r="M25" s="89">
        <v>9.9920000000000009</v>
      </c>
      <c r="N25" s="2"/>
      <c r="O25" s="67">
        <v>3.2</v>
      </c>
      <c r="P25" s="67">
        <v>3.2</v>
      </c>
    </row>
    <row r="26" spans="2:16" x14ac:dyDescent="0.4">
      <c r="B26" s="40"/>
      <c r="C26" s="82">
        <f>(G25-C25)/O25</f>
        <v>1.187500000000008E-2</v>
      </c>
      <c r="D26" s="70"/>
      <c r="E26" s="70"/>
      <c r="F26" s="70">
        <f>(G25-F25)/$F$3</f>
        <v>8.5000000000006182E-3</v>
      </c>
      <c r="G26" s="93"/>
      <c r="H26" s="70"/>
      <c r="I26" s="70">
        <f>(G25-I25)/$I$3</f>
        <v>9.5000000000000639E-3</v>
      </c>
      <c r="J26" s="70"/>
      <c r="K26" s="70"/>
      <c r="L26" s="71"/>
      <c r="M26" s="88">
        <f>(G25-M25)/P25</f>
        <v>1.3124999999999942E-2</v>
      </c>
      <c r="N26" s="2"/>
      <c r="O26" s="67"/>
      <c r="P26" s="67"/>
    </row>
    <row r="27" spans="2:16" x14ac:dyDescent="0.4">
      <c r="B27" s="39" t="s">
        <v>31</v>
      </c>
      <c r="C27" s="83">
        <v>10.002000000000001</v>
      </c>
      <c r="D27" s="50"/>
      <c r="E27" s="50"/>
      <c r="F27" s="54">
        <v>10.029</v>
      </c>
      <c r="G27" s="92">
        <v>10.061999999999999</v>
      </c>
      <c r="H27" s="50"/>
      <c r="I27" s="54">
        <v>10.026999999999999</v>
      </c>
      <c r="J27" s="54"/>
      <c r="K27" s="50"/>
      <c r="L27" s="49"/>
      <c r="M27" s="89">
        <v>9.9990000000000006</v>
      </c>
      <c r="N27" s="2"/>
      <c r="O27" s="67">
        <v>3.19</v>
      </c>
      <c r="P27" s="67">
        <v>3.18</v>
      </c>
    </row>
    <row r="28" spans="2:16" x14ac:dyDescent="0.4">
      <c r="B28" s="40"/>
      <c r="C28" s="82">
        <f>(G27-C27)/O27</f>
        <v>1.8808777429466683E-2</v>
      </c>
      <c r="D28" s="70"/>
      <c r="E28" s="70"/>
      <c r="F28" s="70">
        <f>(G27-F27)/$F$3</f>
        <v>1.6499999999999737E-2</v>
      </c>
      <c r="G28" s="93"/>
      <c r="H28" s="70"/>
      <c r="I28" s="70">
        <f>(G27-I27)/$I$3</f>
        <v>1.7500000000000071E-2</v>
      </c>
      <c r="J28" s="70"/>
      <c r="K28" s="70"/>
      <c r="L28" s="71"/>
      <c r="M28" s="88">
        <f>(G27-M27)/P27</f>
        <v>1.9811320754716612E-2</v>
      </c>
      <c r="N28" s="2"/>
      <c r="O28" s="67"/>
      <c r="P28" s="67"/>
    </row>
    <row r="29" spans="2:16" x14ac:dyDescent="0.4">
      <c r="B29" s="39" t="s">
        <v>11</v>
      </c>
      <c r="C29" s="83">
        <v>10.019</v>
      </c>
      <c r="D29" s="50"/>
      <c r="E29" s="50"/>
      <c r="F29" s="54">
        <v>10.047000000000001</v>
      </c>
      <c r="G29" s="92">
        <v>10.09</v>
      </c>
      <c r="H29" s="50"/>
      <c r="I29" s="54">
        <v>10.048</v>
      </c>
      <c r="J29" s="54"/>
      <c r="K29" s="50"/>
      <c r="L29" s="49"/>
      <c r="M29" s="89">
        <v>10.023999999999999</v>
      </c>
      <c r="N29" s="2"/>
      <c r="O29" s="67">
        <v>3.2</v>
      </c>
      <c r="P29" s="67">
        <v>3.18</v>
      </c>
    </row>
    <row r="30" spans="2:16" x14ac:dyDescent="0.4">
      <c r="B30" s="40"/>
      <c r="C30" s="82">
        <f>(G29-C29)/O29</f>
        <v>2.2187499999999916E-2</v>
      </c>
      <c r="D30" s="70"/>
      <c r="E30" s="70"/>
      <c r="F30" s="70">
        <f>(G29-F29)/$F$3</f>
        <v>2.1499999999999631E-2</v>
      </c>
      <c r="G30" s="93"/>
      <c r="H30" s="70"/>
      <c r="I30" s="70">
        <f>(G29-I29)/$I$3</f>
        <v>2.0999999999999908E-2</v>
      </c>
      <c r="J30" s="70"/>
      <c r="K30" s="70"/>
      <c r="L30" s="71"/>
      <c r="M30" s="88">
        <f>(G29-M29)/P29</f>
        <v>2.0754716981132303E-2</v>
      </c>
      <c r="N30" s="2"/>
      <c r="O30" s="67"/>
      <c r="P30" s="67"/>
    </row>
    <row r="31" spans="2:16" x14ac:dyDescent="0.4">
      <c r="B31" s="39" t="s">
        <v>12</v>
      </c>
      <c r="C31" s="83">
        <v>10.037000000000001</v>
      </c>
      <c r="D31" s="50"/>
      <c r="E31" s="50"/>
      <c r="F31" s="54">
        <v>10.055</v>
      </c>
      <c r="G31" s="92">
        <v>10.118</v>
      </c>
      <c r="H31" s="50"/>
      <c r="I31" s="54">
        <v>10.06</v>
      </c>
      <c r="J31" s="54"/>
      <c r="K31" s="50"/>
      <c r="L31" s="49"/>
      <c r="M31" s="89">
        <v>10.035</v>
      </c>
      <c r="N31" s="2"/>
      <c r="O31" s="67">
        <v>3.18</v>
      </c>
      <c r="P31" s="67">
        <v>3.2</v>
      </c>
    </row>
    <row r="32" spans="2:16" x14ac:dyDescent="0.4">
      <c r="B32" s="40"/>
      <c r="C32" s="82">
        <f>(G31-C31)/O31</f>
        <v>2.5471698113207392E-2</v>
      </c>
      <c r="D32" s="70"/>
      <c r="E32" s="70"/>
      <c r="F32" s="70">
        <f>(G31-F31)/$F$3</f>
        <v>3.1500000000000306E-2</v>
      </c>
      <c r="G32" s="93"/>
      <c r="H32" s="70"/>
      <c r="I32" s="70">
        <f>(G31-I31)/$I$3</f>
        <v>2.8999999999999915E-2</v>
      </c>
      <c r="J32" s="70"/>
      <c r="K32" s="70"/>
      <c r="L32" s="71"/>
      <c r="M32" s="88">
        <f>(G31-M31)/P31</f>
        <v>2.5937500000000058E-2</v>
      </c>
      <c r="N32" s="2"/>
      <c r="O32" s="67"/>
      <c r="P32" s="67"/>
    </row>
    <row r="33" spans="2:16" x14ac:dyDescent="0.4">
      <c r="B33" s="39" t="s">
        <v>13</v>
      </c>
      <c r="C33" s="83">
        <v>10.103</v>
      </c>
      <c r="D33" s="50"/>
      <c r="E33" s="50"/>
      <c r="F33" s="54">
        <v>10.106</v>
      </c>
      <c r="G33" s="92">
        <v>10.146000000000001</v>
      </c>
      <c r="H33" s="50"/>
      <c r="I33" s="54">
        <v>10.105</v>
      </c>
      <c r="J33" s="54"/>
      <c r="K33" s="50"/>
      <c r="L33" s="49"/>
      <c r="M33" s="89">
        <v>10.071999999999999</v>
      </c>
      <c r="N33" s="2"/>
      <c r="O33" s="67">
        <v>3.2</v>
      </c>
      <c r="P33" s="67">
        <v>3.2</v>
      </c>
    </row>
    <row r="34" spans="2:16" x14ac:dyDescent="0.4">
      <c r="B34" s="40"/>
      <c r="C34" s="82">
        <f>(G33-C33)/O33</f>
        <v>1.3437500000000324E-2</v>
      </c>
      <c r="D34" s="70"/>
      <c r="E34" s="70"/>
      <c r="F34" s="70">
        <f>(G33-F33)/$F$3</f>
        <v>2.0000000000000462E-2</v>
      </c>
      <c r="G34" s="93"/>
      <c r="H34" s="70"/>
      <c r="I34" s="70">
        <f>(G33-I33)/$I$3</f>
        <v>2.0500000000000185E-2</v>
      </c>
      <c r="J34" s="70"/>
      <c r="K34" s="70"/>
      <c r="L34" s="71"/>
      <c r="M34" s="88">
        <f>(G33-M33)/P33</f>
        <v>2.3125000000000506E-2</v>
      </c>
      <c r="N34" s="2"/>
      <c r="O34" s="67"/>
      <c r="P34" s="67"/>
    </row>
    <row r="35" spans="2:16" x14ac:dyDescent="0.4">
      <c r="B35" s="44" t="s">
        <v>36</v>
      </c>
      <c r="C35" s="83">
        <v>10.132</v>
      </c>
      <c r="D35" s="50"/>
      <c r="E35" s="50"/>
      <c r="F35" s="54">
        <v>10.128</v>
      </c>
      <c r="G35" s="92">
        <v>10.157999999999999</v>
      </c>
      <c r="H35" s="56">
        <v>10.134</v>
      </c>
      <c r="I35" s="54">
        <v>10.112</v>
      </c>
      <c r="J35" s="54"/>
      <c r="K35" s="50"/>
      <c r="L35" s="49"/>
      <c r="M35" s="89">
        <v>10.07</v>
      </c>
      <c r="N35" s="2"/>
      <c r="O35" s="67">
        <v>3.18</v>
      </c>
      <c r="P35" s="67">
        <v>3.2</v>
      </c>
    </row>
    <row r="36" spans="2:16" x14ac:dyDescent="0.4">
      <c r="B36" s="45"/>
      <c r="C36" s="82">
        <f>(G35-C35)/O35</f>
        <v>8.1761006289307551E-3</v>
      </c>
      <c r="D36" s="70"/>
      <c r="E36" s="70"/>
      <c r="F36" s="70">
        <f>(G35-F35)/$F$3</f>
        <v>1.499999999999968E-2</v>
      </c>
      <c r="G36" s="93"/>
      <c r="H36" s="70"/>
      <c r="I36" s="70">
        <f>(G35-I35)/$I$3</f>
        <v>2.2999999999999687E-2</v>
      </c>
      <c r="J36" s="70"/>
      <c r="K36" s="70"/>
      <c r="L36" s="71"/>
      <c r="M36" s="88">
        <f>(G35-M35)/P35</f>
        <v>2.7499999999999747E-2</v>
      </c>
      <c r="N36" s="2"/>
      <c r="O36" s="67"/>
      <c r="P36" s="67"/>
    </row>
    <row r="37" spans="2:16" x14ac:dyDescent="0.4">
      <c r="B37" s="39" t="s">
        <v>14</v>
      </c>
      <c r="C37" s="83">
        <v>10.108000000000001</v>
      </c>
      <c r="D37" s="50"/>
      <c r="E37" s="50"/>
      <c r="F37" s="54">
        <v>10.122999999999999</v>
      </c>
      <c r="G37" s="92">
        <v>10.173999999999999</v>
      </c>
      <c r="H37" s="50"/>
      <c r="I37" s="54">
        <v>10.135</v>
      </c>
      <c r="J37" s="54"/>
      <c r="K37" s="50"/>
      <c r="L37" s="49"/>
      <c r="M37" s="89">
        <v>10.098000000000001</v>
      </c>
      <c r="N37" s="2"/>
      <c r="O37" s="67">
        <v>3.18</v>
      </c>
      <c r="P37" s="67">
        <v>3.2</v>
      </c>
    </row>
    <row r="38" spans="2:16" x14ac:dyDescent="0.4">
      <c r="B38" s="40"/>
      <c r="C38" s="82">
        <f>(G37-C37)/O37</f>
        <v>2.0754716981131745E-2</v>
      </c>
      <c r="D38" s="70"/>
      <c r="E38" s="70"/>
      <c r="F38" s="70">
        <f>(G37-F37)/$F$3</f>
        <v>2.5500000000000078E-2</v>
      </c>
      <c r="G38" s="93"/>
      <c r="H38" s="70"/>
      <c r="I38" s="70">
        <f>(G37-I37)/$I$3</f>
        <v>1.9499999999999851E-2</v>
      </c>
      <c r="J38" s="70"/>
      <c r="K38" s="70"/>
      <c r="L38" s="71"/>
      <c r="M38" s="88">
        <f>(G37-M37)/P37</f>
        <v>2.3749999999999605E-2</v>
      </c>
      <c r="N38" s="2"/>
      <c r="O38" s="67"/>
      <c r="P38" s="67"/>
    </row>
    <row r="39" spans="2:16" x14ac:dyDescent="0.4">
      <c r="B39" s="39" t="s">
        <v>15</v>
      </c>
      <c r="C39" s="83">
        <v>10.14</v>
      </c>
      <c r="D39" s="50"/>
      <c r="E39" s="50"/>
      <c r="F39" s="54">
        <v>10.157999999999999</v>
      </c>
      <c r="G39" s="92">
        <v>10.202</v>
      </c>
      <c r="H39" s="50"/>
      <c r="I39" s="54">
        <v>10.172000000000001</v>
      </c>
      <c r="J39" s="54"/>
      <c r="K39" s="50"/>
      <c r="L39" s="49"/>
      <c r="M39" s="89">
        <v>10.141999999999999</v>
      </c>
      <c r="N39" s="2"/>
      <c r="O39" s="67">
        <v>3.18</v>
      </c>
      <c r="P39" s="67">
        <v>3.19</v>
      </c>
    </row>
    <row r="40" spans="2:16" x14ac:dyDescent="0.4">
      <c r="B40" s="40"/>
      <c r="C40" s="82">
        <f>(G39-C39)/O39</f>
        <v>1.9496855345911758E-2</v>
      </c>
      <c r="D40" s="70"/>
      <c r="E40" s="70"/>
      <c r="F40" s="70">
        <f>(G39-F39)/$F$3</f>
        <v>2.2000000000000242E-2</v>
      </c>
      <c r="G40" s="93"/>
      <c r="H40" s="70"/>
      <c r="I40" s="70">
        <f>(G39-I39)/$I$3</f>
        <v>1.499999999999968E-2</v>
      </c>
      <c r="J40" s="70"/>
      <c r="K40" s="70"/>
      <c r="L40" s="71"/>
      <c r="M40" s="88">
        <f>(G39-M39)/P39</f>
        <v>1.8808777429467242E-2</v>
      </c>
      <c r="N40" s="2"/>
      <c r="O40" s="67"/>
      <c r="P40" s="67"/>
    </row>
    <row r="41" spans="2:16" x14ac:dyDescent="0.4">
      <c r="B41" s="39" t="s">
        <v>16</v>
      </c>
      <c r="C41" s="83">
        <v>10.196</v>
      </c>
      <c r="D41" s="50"/>
      <c r="E41" s="50"/>
      <c r="F41" s="54">
        <v>10.212</v>
      </c>
      <c r="G41" s="92">
        <v>10.23</v>
      </c>
      <c r="H41" s="50"/>
      <c r="I41" s="54">
        <v>10.208</v>
      </c>
      <c r="J41" s="54"/>
      <c r="K41" s="50"/>
      <c r="L41" s="49"/>
      <c r="M41" s="89">
        <v>10.19</v>
      </c>
      <c r="N41" s="2"/>
      <c r="O41" s="67">
        <v>3.18</v>
      </c>
      <c r="P41" s="67">
        <v>3.19</v>
      </c>
    </row>
    <row r="42" spans="2:16" x14ac:dyDescent="0.4">
      <c r="B42" s="40"/>
      <c r="C42" s="82">
        <f>(G41-C41)/O41</f>
        <v>1.0691823899371287E-2</v>
      </c>
      <c r="D42" s="70"/>
      <c r="E42" s="70"/>
      <c r="F42" s="70">
        <f>(G41-F41)/$F$3</f>
        <v>9.0000000000003411E-3</v>
      </c>
      <c r="G42" s="93"/>
      <c r="H42" s="70"/>
      <c r="I42" s="70">
        <f>(G41-I41)/$I$3</f>
        <v>1.1000000000000121E-2</v>
      </c>
      <c r="J42" s="70"/>
      <c r="K42" s="70"/>
      <c r="L42" s="71"/>
      <c r="M42" s="88">
        <f>(G41-M41)/P41</f>
        <v>1.2539184952978346E-2</v>
      </c>
      <c r="N42" s="2"/>
      <c r="O42" s="67"/>
      <c r="P42" s="67"/>
    </row>
    <row r="43" spans="2:16" x14ac:dyDescent="0.4">
      <c r="B43" s="39" t="s">
        <v>17</v>
      </c>
      <c r="C43" s="83">
        <v>10.236000000000001</v>
      </c>
      <c r="D43" s="50"/>
      <c r="E43" s="50"/>
      <c r="F43" s="54">
        <v>10.255000000000001</v>
      </c>
      <c r="G43" s="92">
        <v>10.291</v>
      </c>
      <c r="H43" s="50"/>
      <c r="I43" s="54">
        <v>10.260999999999999</v>
      </c>
      <c r="J43" s="54"/>
      <c r="K43" s="50"/>
      <c r="L43" s="49"/>
      <c r="M43" s="89">
        <v>10.234</v>
      </c>
      <c r="N43" s="2"/>
      <c r="O43" s="67">
        <v>3.17</v>
      </c>
      <c r="P43" s="67">
        <v>3.19</v>
      </c>
    </row>
    <row r="44" spans="2:16" x14ac:dyDescent="0.4">
      <c r="B44" s="40"/>
      <c r="C44" s="82">
        <f>(G43-C43)/O43</f>
        <v>1.7350157728706534E-2</v>
      </c>
      <c r="D44" s="70"/>
      <c r="E44" s="70"/>
      <c r="F44" s="70">
        <f>(G43-F43)/$F$3</f>
        <v>1.7999999999999794E-2</v>
      </c>
      <c r="G44" s="93"/>
      <c r="H44" s="70"/>
      <c r="I44" s="70">
        <f>(G43-I43)/$I$3</f>
        <v>1.5000000000000568E-2</v>
      </c>
      <c r="J44" s="70"/>
      <c r="K44" s="70"/>
      <c r="L44" s="71"/>
      <c r="M44" s="88">
        <f>(G43-M43)/P43</f>
        <v>1.786833855799385E-2</v>
      </c>
      <c r="N44" s="2"/>
      <c r="O44" s="67"/>
      <c r="P44" s="67"/>
    </row>
    <row r="45" spans="2:16" x14ac:dyDescent="0.4">
      <c r="B45" s="39" t="s">
        <v>18</v>
      </c>
      <c r="C45" s="83">
        <v>10.359</v>
      </c>
      <c r="D45" s="50"/>
      <c r="E45" s="50"/>
      <c r="F45" s="54">
        <v>10.368</v>
      </c>
      <c r="G45" s="92">
        <v>10.353999999999999</v>
      </c>
      <c r="H45" s="50"/>
      <c r="I45" s="54">
        <v>10.384</v>
      </c>
      <c r="J45" s="54"/>
      <c r="K45" s="50"/>
      <c r="L45" s="49"/>
      <c r="M45" s="89">
        <v>10.398999999999999</v>
      </c>
      <c r="N45" s="2"/>
      <c r="O45" s="67">
        <v>3.2</v>
      </c>
      <c r="P45" s="67">
        <v>3.2</v>
      </c>
    </row>
    <row r="46" spans="2:16" x14ac:dyDescent="0.4">
      <c r="B46" s="40"/>
      <c r="C46" s="82">
        <f>(G45-C45)/O45</f>
        <v>-1.5625000000002442E-3</v>
      </c>
      <c r="D46" s="70"/>
      <c r="E46" s="70"/>
      <c r="F46" s="70">
        <f>(G45-F45)/$F$3</f>
        <v>-7.0000000000005613E-3</v>
      </c>
      <c r="G46" s="93"/>
      <c r="H46" s="70"/>
      <c r="I46" s="70">
        <f>(G45-I45)/$I$3</f>
        <v>-1.5000000000000568E-2</v>
      </c>
      <c r="J46" s="70"/>
      <c r="K46" s="70"/>
      <c r="L46" s="71"/>
      <c r="M46" s="88">
        <f>(G45-M45)/P45</f>
        <v>-1.4062499999999978E-2</v>
      </c>
      <c r="N46" s="2"/>
      <c r="O46" s="67"/>
      <c r="P46" s="67"/>
    </row>
    <row r="47" spans="2:16" x14ac:dyDescent="0.4">
      <c r="B47" s="44" t="s">
        <v>37</v>
      </c>
      <c r="C47" s="83">
        <v>10.372</v>
      </c>
      <c r="D47" s="50"/>
      <c r="E47" s="50"/>
      <c r="F47" s="54">
        <v>10.371</v>
      </c>
      <c r="G47" s="92">
        <v>10.369</v>
      </c>
      <c r="H47" s="56">
        <v>10.375</v>
      </c>
      <c r="I47" s="54">
        <v>10.388</v>
      </c>
      <c r="J47" s="54"/>
      <c r="K47" s="50"/>
      <c r="L47" s="49"/>
      <c r="M47" s="89">
        <v>10.385999999999999</v>
      </c>
      <c r="N47" s="2"/>
      <c r="O47" s="67">
        <v>3.18</v>
      </c>
      <c r="P47" s="67">
        <v>3.2</v>
      </c>
    </row>
    <row r="48" spans="2:16" x14ac:dyDescent="0.4">
      <c r="B48" s="45"/>
      <c r="C48" s="82">
        <f>(G47-C47)/O47</f>
        <v>-9.4339622641513002E-4</v>
      </c>
      <c r="D48" s="70"/>
      <c r="E48" s="70"/>
      <c r="F48" s="70">
        <f>(G47-F47)/$F$3</f>
        <v>-1.000000000000334E-3</v>
      </c>
      <c r="G48" s="93"/>
      <c r="H48" s="70"/>
      <c r="I48" s="70">
        <f>(G47-I47)/$I$3</f>
        <v>-9.5000000000000639E-3</v>
      </c>
      <c r="J48" s="70"/>
      <c r="K48" s="70"/>
      <c r="L48" s="71"/>
      <c r="M48" s="88">
        <f>(G47-M47)/P47</f>
        <v>-5.3124999999998312E-3</v>
      </c>
      <c r="N48" s="2"/>
      <c r="O48" s="67"/>
      <c r="P48" s="67"/>
    </row>
    <row r="49" spans="2:16" x14ac:dyDescent="0.4">
      <c r="B49" s="39" t="s">
        <v>19</v>
      </c>
      <c r="C49" s="83">
        <v>10.365</v>
      </c>
      <c r="D49" s="50"/>
      <c r="E49" s="50"/>
      <c r="F49" s="54">
        <v>10.384</v>
      </c>
      <c r="G49" s="92">
        <v>10.417</v>
      </c>
      <c r="H49" s="50"/>
      <c r="I49" s="54">
        <v>10.366</v>
      </c>
      <c r="J49" s="54"/>
      <c r="K49" s="50"/>
      <c r="L49" s="49"/>
      <c r="M49" s="89">
        <v>10.348000000000001</v>
      </c>
      <c r="N49" s="2"/>
      <c r="O49" s="67">
        <v>3.22</v>
      </c>
      <c r="P49" s="67">
        <v>3.2</v>
      </c>
    </row>
    <row r="50" spans="2:16" x14ac:dyDescent="0.4">
      <c r="B50" s="40"/>
      <c r="C50" s="82">
        <f>(G49-C49)/O49</f>
        <v>1.6149068322981242E-2</v>
      </c>
      <c r="D50" s="70"/>
      <c r="E50" s="70"/>
      <c r="F50" s="70">
        <f>(G49-F49)/$F$3</f>
        <v>1.6499999999999737E-2</v>
      </c>
      <c r="G50" s="93"/>
      <c r="H50" s="70"/>
      <c r="I50" s="70">
        <f>(G49-I49)/$I$3</f>
        <v>2.5500000000000078E-2</v>
      </c>
      <c r="J50" s="70"/>
      <c r="K50" s="70"/>
      <c r="L50" s="71"/>
      <c r="M50" s="88">
        <f>(G49-M49)/P49</f>
        <v>2.1562499999999707E-2</v>
      </c>
      <c r="N50" s="2"/>
      <c r="O50" s="67"/>
      <c r="P50" s="67"/>
    </row>
    <row r="51" spans="2:16" x14ac:dyDescent="0.4">
      <c r="B51" s="39" t="s">
        <v>20</v>
      </c>
      <c r="C51" s="83">
        <v>10.404</v>
      </c>
      <c r="D51" s="50"/>
      <c r="E51" s="50"/>
      <c r="F51" s="54">
        <v>10.435</v>
      </c>
      <c r="G51" s="92">
        <v>10.48</v>
      </c>
      <c r="H51" s="50"/>
      <c r="I51" s="54">
        <v>10.433</v>
      </c>
      <c r="J51" s="54"/>
      <c r="K51" s="50"/>
      <c r="L51" s="49"/>
      <c r="M51" s="89">
        <v>10.419</v>
      </c>
      <c r="N51" s="2"/>
      <c r="O51" s="67">
        <v>3.18</v>
      </c>
      <c r="P51" s="67">
        <v>3.2</v>
      </c>
    </row>
    <row r="52" spans="2:16" x14ac:dyDescent="0.4">
      <c r="B52" s="40"/>
      <c r="C52" s="82">
        <f>(G51-C51)/O51</f>
        <v>2.3899371069182551E-2</v>
      </c>
      <c r="D52" s="70"/>
      <c r="E52" s="70"/>
      <c r="F52" s="70">
        <f>(G51-F51)/$F$3</f>
        <v>2.2499999999999964E-2</v>
      </c>
      <c r="G52" s="93"/>
      <c r="H52" s="70"/>
      <c r="I52" s="70">
        <f>(G51-I51)/$I$3</f>
        <v>2.3500000000000298E-2</v>
      </c>
      <c r="J52" s="70"/>
      <c r="K52" s="70"/>
      <c r="L52" s="71"/>
      <c r="M52" s="88">
        <f>(G51-M51)/P51</f>
        <v>1.9062499999999982E-2</v>
      </c>
      <c r="N52" s="2"/>
      <c r="O52" s="67"/>
      <c r="P52" s="67"/>
    </row>
    <row r="53" spans="2:16" x14ac:dyDescent="0.4">
      <c r="B53" s="39" t="s">
        <v>21</v>
      </c>
      <c r="C53" s="83">
        <v>10.478</v>
      </c>
      <c r="D53" s="50"/>
      <c r="E53" s="50"/>
      <c r="F53" s="54">
        <v>10.507</v>
      </c>
      <c r="G53" s="92">
        <v>10.542999999999999</v>
      </c>
      <c r="H53" s="50"/>
      <c r="I53" s="54">
        <v>10.510999999999999</v>
      </c>
      <c r="J53" s="54"/>
      <c r="K53" s="50"/>
      <c r="L53" s="49"/>
      <c r="M53" s="89">
        <v>10.481999999999999</v>
      </c>
      <c r="N53" s="2"/>
      <c r="O53" s="67">
        <v>3.2</v>
      </c>
      <c r="P53" s="67">
        <v>3.2</v>
      </c>
    </row>
    <row r="54" spans="2:16" x14ac:dyDescent="0.4">
      <c r="B54" s="40"/>
      <c r="C54" s="82">
        <f>(G53-C53)/O53</f>
        <v>2.0312499999999845E-2</v>
      </c>
      <c r="D54" s="70"/>
      <c r="E54" s="70"/>
      <c r="F54" s="70">
        <f>(G53-F53)/$F$3</f>
        <v>1.7999999999999794E-2</v>
      </c>
      <c r="G54" s="93"/>
      <c r="H54" s="70"/>
      <c r="I54" s="70">
        <f>(G53-I53)/$I$3</f>
        <v>1.6000000000000014E-2</v>
      </c>
      <c r="J54" s="70"/>
      <c r="K54" s="70"/>
      <c r="L54" s="71"/>
      <c r="M54" s="88">
        <f>(G53-M53)/P53</f>
        <v>1.9062499999999982E-2</v>
      </c>
      <c r="N54" s="2"/>
      <c r="O54" s="67"/>
      <c r="P54" s="67"/>
    </row>
    <row r="55" spans="2:16" x14ac:dyDescent="0.4">
      <c r="B55" s="44" t="s">
        <v>38</v>
      </c>
      <c r="C55" s="83">
        <v>10.510999999999999</v>
      </c>
      <c r="D55" s="50"/>
      <c r="E55" s="50"/>
      <c r="F55" s="54">
        <v>10.54</v>
      </c>
      <c r="G55" s="92">
        <v>10.573</v>
      </c>
      <c r="H55" s="56">
        <v>10.571999999999999</v>
      </c>
      <c r="I55" s="54">
        <v>10.534000000000001</v>
      </c>
      <c r="J55" s="54"/>
      <c r="K55" s="50"/>
      <c r="L55" s="49"/>
      <c r="M55" s="89">
        <v>10.510999999999999</v>
      </c>
      <c r="N55" s="2"/>
      <c r="O55" s="67">
        <v>3.18</v>
      </c>
      <c r="P55" s="67">
        <v>3.2</v>
      </c>
    </row>
    <row r="56" spans="2:16" x14ac:dyDescent="0.4">
      <c r="B56" s="45"/>
      <c r="C56" s="82">
        <f>(G55-C55)/O55</f>
        <v>1.9496855345912317E-2</v>
      </c>
      <c r="D56" s="70"/>
      <c r="E56" s="70"/>
      <c r="F56" s="70">
        <f>(G55-F55)/$F$3</f>
        <v>1.6500000000000625E-2</v>
      </c>
      <c r="G56" s="93"/>
      <c r="H56" s="70"/>
      <c r="I56" s="70">
        <f>(G55-I55)/$I$3</f>
        <v>1.9499999999999851E-2</v>
      </c>
      <c r="J56" s="70"/>
      <c r="K56" s="70"/>
      <c r="L56" s="71"/>
      <c r="M56" s="88">
        <f>(G55-M55)/P55</f>
        <v>1.9375000000000364E-2</v>
      </c>
      <c r="N56" s="2"/>
      <c r="O56" s="67"/>
      <c r="P56" s="67"/>
    </row>
    <row r="57" spans="2:16" x14ac:dyDescent="0.4">
      <c r="B57" s="39" t="s">
        <v>22</v>
      </c>
      <c r="C57" s="83">
        <v>10.548999999999999</v>
      </c>
      <c r="D57" s="50"/>
      <c r="E57" s="50"/>
      <c r="F57" s="54">
        <v>10.569000000000001</v>
      </c>
      <c r="G57" s="92">
        <v>10.606</v>
      </c>
      <c r="H57" s="50"/>
      <c r="I57" s="54">
        <v>10.567</v>
      </c>
      <c r="J57" s="54"/>
      <c r="K57" s="50"/>
      <c r="L57" s="49"/>
      <c r="M57" s="89">
        <v>10.547000000000001</v>
      </c>
      <c r="N57" s="2"/>
      <c r="O57" s="67">
        <v>3.2</v>
      </c>
      <c r="P57" s="67">
        <v>3.2</v>
      </c>
    </row>
    <row r="58" spans="2:16" x14ac:dyDescent="0.4">
      <c r="B58" s="40"/>
      <c r="C58" s="82">
        <f>(G57-C57)/O57</f>
        <v>1.781250000000012E-2</v>
      </c>
      <c r="D58" s="70"/>
      <c r="E58" s="70"/>
      <c r="F58" s="70">
        <f>(G57-F57)/$F$3</f>
        <v>1.8499999999999517E-2</v>
      </c>
      <c r="G58" s="93"/>
      <c r="H58" s="70"/>
      <c r="I58" s="70">
        <f>(G57-I57)/$I$3</f>
        <v>1.9499999999999851E-2</v>
      </c>
      <c r="J58" s="70"/>
      <c r="K58" s="70"/>
      <c r="L58" s="71"/>
      <c r="M58" s="88">
        <f>(G57-M57)/P57</f>
        <v>1.8437499999999774E-2</v>
      </c>
      <c r="N58" s="2"/>
      <c r="O58" s="67"/>
      <c r="P58" s="67"/>
    </row>
    <row r="59" spans="2:16" x14ac:dyDescent="0.4">
      <c r="B59" s="39" t="s">
        <v>23</v>
      </c>
      <c r="C59" s="83">
        <v>10.606999999999999</v>
      </c>
      <c r="D59" s="50"/>
      <c r="E59" s="50"/>
      <c r="F59" s="54">
        <v>10.629</v>
      </c>
      <c r="G59" s="92">
        <v>10.669</v>
      </c>
      <c r="H59" s="50"/>
      <c r="I59" s="54">
        <v>10.625999999999999</v>
      </c>
      <c r="J59" s="54"/>
      <c r="K59" s="50"/>
      <c r="L59" s="49"/>
      <c r="M59" s="89">
        <v>10.619</v>
      </c>
      <c r="N59" s="2"/>
      <c r="O59" s="67">
        <v>3.2</v>
      </c>
      <c r="P59" s="67">
        <v>3.2</v>
      </c>
    </row>
    <row r="60" spans="2:16" x14ac:dyDescent="0.4">
      <c r="B60" s="40"/>
      <c r="C60" s="82">
        <f>(G59-C59)/O59</f>
        <v>1.9375000000000364E-2</v>
      </c>
      <c r="D60" s="70"/>
      <c r="E60" s="70"/>
      <c r="F60" s="70">
        <f>(G59-F59)/$F$3</f>
        <v>2.0000000000000462E-2</v>
      </c>
      <c r="G60" s="93"/>
      <c r="H60" s="70"/>
      <c r="I60" s="70">
        <f>(G59-I59)/$I$3</f>
        <v>2.1500000000000519E-2</v>
      </c>
      <c r="J60" s="70"/>
      <c r="K60" s="70"/>
      <c r="L60" s="71"/>
      <c r="M60" s="88">
        <f>(G59-M59)/P59</f>
        <v>1.5625000000000222E-2</v>
      </c>
      <c r="N60" s="2"/>
      <c r="O60" s="67"/>
      <c r="P60" s="67"/>
    </row>
    <row r="61" spans="2:16" x14ac:dyDescent="0.4">
      <c r="B61" s="39" t="s">
        <v>39</v>
      </c>
      <c r="C61" s="83">
        <v>10.629</v>
      </c>
      <c r="D61" s="50"/>
      <c r="E61" s="50"/>
      <c r="F61" s="54">
        <v>10.648</v>
      </c>
      <c r="G61" s="92">
        <v>10.695</v>
      </c>
      <c r="H61" s="50"/>
      <c r="I61" s="54">
        <v>10.656000000000001</v>
      </c>
      <c r="J61" s="54"/>
      <c r="K61" s="50"/>
      <c r="L61" s="49"/>
      <c r="M61" s="89">
        <v>10.638999999999999</v>
      </c>
      <c r="N61" s="2"/>
      <c r="O61" s="67">
        <v>3.19</v>
      </c>
      <c r="P61" s="67">
        <v>3.23</v>
      </c>
    </row>
    <row r="62" spans="2:16" x14ac:dyDescent="0.4">
      <c r="B62" s="40"/>
      <c r="C62" s="82">
        <f>(G61-C61)/O61</f>
        <v>2.0689655172414022E-2</v>
      </c>
      <c r="D62" s="70"/>
      <c r="E62" s="70"/>
      <c r="F62" s="70">
        <f>(G61-F61)/$F$3</f>
        <v>2.3500000000000298E-2</v>
      </c>
      <c r="G62" s="93"/>
      <c r="H62" s="70"/>
      <c r="I62" s="70">
        <f>(G61-I61)/$I$3</f>
        <v>1.9499999999999851E-2</v>
      </c>
      <c r="J62" s="70"/>
      <c r="K62" s="70"/>
      <c r="L62" s="71"/>
      <c r="M62" s="88">
        <f>(G61-M61)/P61</f>
        <v>1.7337461300309887E-2</v>
      </c>
      <c r="N62" s="2"/>
      <c r="O62" s="67"/>
      <c r="P62" s="67"/>
    </row>
    <row r="63" spans="2:16" x14ac:dyDescent="0.4">
      <c r="B63" s="39" t="s">
        <v>24</v>
      </c>
      <c r="C63" s="83">
        <v>10.673999999999999</v>
      </c>
      <c r="D63" s="50"/>
      <c r="E63" s="50"/>
      <c r="F63" s="54">
        <v>10.704000000000001</v>
      </c>
      <c r="G63" s="92">
        <v>10.731999999999999</v>
      </c>
      <c r="H63" s="50"/>
      <c r="I63" s="54">
        <v>10.721</v>
      </c>
      <c r="J63" s="54">
        <v>10.683999999999999</v>
      </c>
      <c r="K63" s="50">
        <v>10.667999999999999</v>
      </c>
      <c r="L63" s="49"/>
      <c r="M63" s="89">
        <v>10.643000000000001</v>
      </c>
      <c r="N63" s="2"/>
      <c r="O63" s="67"/>
      <c r="P63" s="67"/>
    </row>
    <row r="64" spans="2:16" x14ac:dyDescent="0.4">
      <c r="B64" s="40"/>
      <c r="C64" s="82"/>
      <c r="D64" s="70"/>
      <c r="E64" s="70"/>
      <c r="F64" s="70">
        <f>(G63-F63)/$F$3</f>
        <v>1.3999999999999346E-2</v>
      </c>
      <c r="G64" s="93"/>
      <c r="H64" s="70"/>
      <c r="I64" s="70">
        <f>(G63-I63)/$I$3</f>
        <v>5.4999999999996163E-3</v>
      </c>
      <c r="J64" s="70">
        <f>(G63-J63)/$J$3</f>
        <v>1.2000000000000011E-2</v>
      </c>
      <c r="K64" s="70">
        <f>(G63-K63)/K3</f>
        <v>1.0666666666666677E-2</v>
      </c>
      <c r="L64" s="71"/>
      <c r="M64" s="88"/>
      <c r="N64" s="2"/>
      <c r="O64" s="67"/>
      <c r="P64" s="67"/>
    </row>
    <row r="65" spans="2:16" x14ac:dyDescent="0.4">
      <c r="B65" s="39" t="s">
        <v>40</v>
      </c>
      <c r="C65" s="83">
        <v>10.631</v>
      </c>
      <c r="D65" s="50"/>
      <c r="E65" s="50">
        <v>10.654999999999999</v>
      </c>
      <c r="F65" s="54">
        <v>10.676</v>
      </c>
      <c r="G65" s="92">
        <v>10.693</v>
      </c>
      <c r="H65" s="50"/>
      <c r="I65" s="54">
        <v>10.682</v>
      </c>
      <c r="J65" s="54">
        <v>10.683999999999999</v>
      </c>
      <c r="K65" s="50">
        <v>10.683</v>
      </c>
      <c r="L65" s="49">
        <v>10.65</v>
      </c>
      <c r="M65" s="89">
        <v>10.643000000000001</v>
      </c>
      <c r="N65" s="2"/>
      <c r="O65" s="67"/>
      <c r="P65" s="67"/>
    </row>
    <row r="66" spans="2:16" x14ac:dyDescent="0.4">
      <c r="B66" s="40"/>
      <c r="C66" s="82"/>
      <c r="D66" s="70"/>
      <c r="E66" s="70"/>
      <c r="F66" s="70">
        <f>(G65-F65)/$F$3</f>
        <v>8.49999999999973E-3</v>
      </c>
      <c r="G66" s="93"/>
      <c r="H66" s="70"/>
      <c r="I66" s="70">
        <f>(G65-I65)/$I$3</f>
        <v>5.4999999999996163E-3</v>
      </c>
      <c r="J66" s="70">
        <f>(G65-J65)/$J$3</f>
        <v>2.2500000000000853E-3</v>
      </c>
      <c r="K66" s="70">
        <f>(G65-K65)/K3</f>
        <v>1.6666666666666312E-3</v>
      </c>
      <c r="L66" s="71">
        <f>(G65-L65)/L3</f>
        <v>5.3749999999999076E-3</v>
      </c>
      <c r="M66" s="88"/>
      <c r="N66" s="2"/>
      <c r="O66" s="67"/>
      <c r="P66" s="67"/>
    </row>
    <row r="67" spans="2:16" x14ac:dyDescent="0.4">
      <c r="O67" s="67"/>
      <c r="P67" s="67"/>
    </row>
    <row r="68" spans="2:16" x14ac:dyDescent="0.4">
      <c r="O68" s="67"/>
      <c r="P68" s="67"/>
    </row>
    <row r="69" spans="2:16" x14ac:dyDescent="0.4">
      <c r="B69" s="38"/>
      <c r="C69" s="62" t="s">
        <v>30</v>
      </c>
      <c r="D69" s="62"/>
      <c r="E69" s="62"/>
      <c r="F69" s="62"/>
      <c r="G69" s="62"/>
      <c r="H69" s="62"/>
      <c r="I69" s="62"/>
      <c r="J69" s="62"/>
      <c r="K69" s="62"/>
      <c r="L69" s="63"/>
      <c r="M69" s="64"/>
      <c r="O69" s="67"/>
      <c r="P69" s="67"/>
    </row>
    <row r="70" spans="2:16" x14ac:dyDescent="0.4">
      <c r="B70" s="38"/>
      <c r="C70" s="46" t="s">
        <v>26</v>
      </c>
      <c r="D70" s="29">
        <v>6</v>
      </c>
      <c r="E70" s="29">
        <v>4</v>
      </c>
      <c r="F70" s="29">
        <v>2</v>
      </c>
      <c r="G70" s="91" t="s">
        <v>28</v>
      </c>
      <c r="H70" s="29"/>
      <c r="I70" s="29">
        <v>2</v>
      </c>
      <c r="J70" s="29">
        <v>4</v>
      </c>
      <c r="K70" s="29">
        <v>6</v>
      </c>
      <c r="L70" s="34">
        <v>8</v>
      </c>
      <c r="M70" s="86" t="s">
        <v>27</v>
      </c>
      <c r="O70" s="66" t="s">
        <v>26</v>
      </c>
      <c r="P70" s="66" t="s">
        <v>27</v>
      </c>
    </row>
    <row r="71" spans="2:16" x14ac:dyDescent="0.4">
      <c r="B71" s="38"/>
      <c r="C71" s="35" t="s">
        <v>29</v>
      </c>
      <c r="D71" s="36"/>
      <c r="E71" s="36"/>
      <c r="F71" s="36"/>
      <c r="G71" s="36"/>
      <c r="H71" s="36"/>
      <c r="I71" s="36"/>
      <c r="J71" s="36"/>
      <c r="K71" s="36"/>
      <c r="L71" s="36"/>
      <c r="M71" s="37"/>
      <c r="O71" s="67"/>
      <c r="P71" s="67"/>
    </row>
    <row r="72" spans="2:16" x14ac:dyDescent="0.4">
      <c r="B72" s="39" t="s">
        <v>0</v>
      </c>
      <c r="C72" s="81">
        <v>10.64</v>
      </c>
      <c r="D72" s="49"/>
      <c r="E72" s="50"/>
      <c r="F72" s="50">
        <v>10.663</v>
      </c>
      <c r="G72" s="92">
        <v>10.669</v>
      </c>
      <c r="H72" s="50"/>
      <c r="I72" s="50">
        <v>10.608000000000001</v>
      </c>
      <c r="J72" s="51"/>
      <c r="K72" s="52"/>
      <c r="L72" s="50"/>
      <c r="M72" s="87">
        <v>10.56</v>
      </c>
      <c r="O72" s="67">
        <v>3.26</v>
      </c>
      <c r="P72" s="67">
        <v>3.09</v>
      </c>
    </row>
    <row r="73" spans="2:16" s="8" customFormat="1" x14ac:dyDescent="0.4">
      <c r="B73" s="40"/>
      <c r="C73" s="82">
        <f>(G72-C72)/O72</f>
        <v>8.8957055214723673E-3</v>
      </c>
      <c r="D73" s="70"/>
      <c r="E73" s="70"/>
      <c r="F73" s="70">
        <f>(G72-F72)/$F$70</f>
        <v>3.0000000000001137E-3</v>
      </c>
      <c r="G73" s="93"/>
      <c r="H73" s="70"/>
      <c r="I73" s="70">
        <f>(G72-I72)/$I$70</f>
        <v>3.0499999999999972E-2</v>
      </c>
      <c r="J73" s="70"/>
      <c r="K73" s="70"/>
      <c r="L73" s="71"/>
      <c r="M73" s="88">
        <f>(G72-M72)/P72</f>
        <v>3.5275080906148865E-2</v>
      </c>
      <c r="O73" s="75"/>
      <c r="P73" s="75"/>
    </row>
    <row r="74" spans="2:16" x14ac:dyDescent="0.4">
      <c r="B74" s="39" t="s">
        <v>1</v>
      </c>
      <c r="C74" s="83">
        <v>10.675000000000001</v>
      </c>
      <c r="D74" s="50"/>
      <c r="E74" s="50"/>
      <c r="F74" s="54">
        <v>10.675000000000001</v>
      </c>
      <c r="G74" s="92">
        <v>10.677</v>
      </c>
      <c r="H74" s="50"/>
      <c r="I74" s="54">
        <v>10.645</v>
      </c>
      <c r="J74" s="54"/>
      <c r="K74" s="50"/>
      <c r="L74" s="49"/>
      <c r="M74" s="89">
        <v>10.587999999999999</v>
      </c>
      <c r="O74" s="67">
        <v>3.1</v>
      </c>
      <c r="P74" s="67">
        <v>3.2</v>
      </c>
    </row>
    <row r="75" spans="2:16" x14ac:dyDescent="0.4">
      <c r="B75" s="40"/>
      <c r="C75" s="82">
        <f>(G74-C74)/O74</f>
        <v>6.4516129032222307E-4</v>
      </c>
      <c r="D75" s="70"/>
      <c r="E75" s="70"/>
      <c r="F75" s="70">
        <f>(G74-F74)/$F$70</f>
        <v>9.9999999999944578E-4</v>
      </c>
      <c r="G75" s="93"/>
      <c r="H75" s="70"/>
      <c r="I75" s="70">
        <f>(G74-I74)/$I$70</f>
        <v>1.6000000000000014E-2</v>
      </c>
      <c r="J75" s="70"/>
      <c r="K75" s="70"/>
      <c r="L75" s="71"/>
      <c r="M75" s="88">
        <f>(G74-M74)/P74</f>
        <v>2.7812500000000129E-2</v>
      </c>
      <c r="O75" s="67"/>
      <c r="P75" s="67"/>
    </row>
    <row r="76" spans="2:16" x14ac:dyDescent="0.4">
      <c r="B76" s="39" t="s">
        <v>41</v>
      </c>
      <c r="C76" s="83">
        <v>10.688000000000001</v>
      </c>
      <c r="D76" s="50"/>
      <c r="E76" s="50"/>
      <c r="F76" s="54">
        <v>10.69</v>
      </c>
      <c r="G76" s="92">
        <v>10.702</v>
      </c>
      <c r="H76" s="50"/>
      <c r="I76" s="54">
        <v>10.645</v>
      </c>
      <c r="J76" s="54"/>
      <c r="K76" s="50"/>
      <c r="L76" s="49"/>
      <c r="M76" s="89">
        <v>10.603</v>
      </c>
      <c r="O76" s="67">
        <v>3.02</v>
      </c>
      <c r="P76" s="67">
        <v>3.13</v>
      </c>
    </row>
    <row r="77" spans="2:16" x14ac:dyDescent="0.4">
      <c r="B77" s="40"/>
      <c r="C77" s="82">
        <f>(G76-C76)/O76</f>
        <v>4.6357615894037571E-3</v>
      </c>
      <c r="D77" s="70"/>
      <c r="E77" s="70"/>
      <c r="F77" s="70">
        <f>(G76-F76)/$F$70</f>
        <v>6.0000000000002274E-3</v>
      </c>
      <c r="G77" s="93"/>
      <c r="H77" s="70"/>
      <c r="I77" s="70">
        <f>(G76-I76)/$I$70</f>
        <v>2.8500000000000192E-2</v>
      </c>
      <c r="J77" s="70"/>
      <c r="K77" s="70"/>
      <c r="L77" s="71"/>
      <c r="M77" s="88">
        <f>(G76-M76)/P76</f>
        <v>3.1629392971246069E-2</v>
      </c>
      <c r="O77" s="67"/>
      <c r="P77" s="67"/>
    </row>
    <row r="78" spans="2:16" x14ac:dyDescent="0.4">
      <c r="B78" s="39" t="s">
        <v>2</v>
      </c>
      <c r="C78" s="83">
        <v>10.609</v>
      </c>
      <c r="D78" s="50"/>
      <c r="E78" s="50"/>
      <c r="F78" s="54">
        <v>10.635999999999999</v>
      </c>
      <c r="G78" s="92">
        <v>10.669</v>
      </c>
      <c r="H78" s="50"/>
      <c r="I78" s="54">
        <v>10.651999999999999</v>
      </c>
      <c r="J78" s="54"/>
      <c r="K78" s="50"/>
      <c r="L78" s="49"/>
      <c r="M78" s="89">
        <v>10.605</v>
      </c>
      <c r="O78" s="67">
        <v>3.23</v>
      </c>
      <c r="P78" s="67">
        <v>3.15</v>
      </c>
    </row>
    <row r="79" spans="2:16" x14ac:dyDescent="0.4">
      <c r="B79" s="40"/>
      <c r="C79" s="82">
        <f>(G78-C78)/O78</f>
        <v>1.857585139318901E-2</v>
      </c>
      <c r="D79" s="70"/>
      <c r="E79" s="70"/>
      <c r="F79" s="70">
        <f>(G78-F78)/$F$70</f>
        <v>1.6500000000000625E-2</v>
      </c>
      <c r="G79" s="93"/>
      <c r="H79" s="70"/>
      <c r="I79" s="70">
        <f>(G78-I78)/$I$70</f>
        <v>8.5000000000006182E-3</v>
      </c>
      <c r="J79" s="70"/>
      <c r="K79" s="70"/>
      <c r="L79" s="71"/>
      <c r="M79" s="88">
        <f>(G78-M78)/P78</f>
        <v>2.0317460317460335E-2</v>
      </c>
      <c r="O79" s="67"/>
      <c r="P79" s="67"/>
    </row>
    <row r="80" spans="2:16" x14ac:dyDescent="0.4">
      <c r="B80" s="39" t="s">
        <v>42</v>
      </c>
      <c r="C80" s="84">
        <v>10.553000000000001</v>
      </c>
      <c r="D80" s="57"/>
      <c r="E80" s="57"/>
      <c r="F80" s="58">
        <v>10.592000000000001</v>
      </c>
      <c r="G80" s="92">
        <v>10.643000000000001</v>
      </c>
      <c r="H80" s="57"/>
      <c r="I80" s="58">
        <v>10.615</v>
      </c>
      <c r="J80" s="58"/>
      <c r="K80" s="57"/>
      <c r="L80" s="59"/>
      <c r="M80" s="90">
        <v>10.569000000000001</v>
      </c>
      <c r="O80" s="67">
        <v>3.15</v>
      </c>
      <c r="P80" s="67">
        <v>3.1</v>
      </c>
    </row>
    <row r="81" spans="2:16" x14ac:dyDescent="0.4">
      <c r="B81" s="40"/>
      <c r="C81" s="82">
        <f>(G80-C80)/O80</f>
        <v>2.8571428571428525E-2</v>
      </c>
      <c r="D81" s="70"/>
      <c r="E81" s="70"/>
      <c r="F81" s="70">
        <f>(G80-F80)/$F$70</f>
        <v>2.5500000000000078E-2</v>
      </c>
      <c r="G81" s="93"/>
      <c r="H81" s="70"/>
      <c r="I81" s="70">
        <f>(G80-I80)/$I$70</f>
        <v>1.4000000000000234E-2</v>
      </c>
      <c r="J81" s="70"/>
      <c r="K81" s="70"/>
      <c r="L81" s="71"/>
      <c r="M81" s="88">
        <f>(G80-M80)/P80</f>
        <v>2.3870967741935433E-2</v>
      </c>
      <c r="O81" s="67"/>
      <c r="P81" s="67"/>
    </row>
  </sheetData>
  <mergeCells count="76">
    <mergeCell ref="G74:G75"/>
    <mergeCell ref="G76:G77"/>
    <mergeCell ref="G78:G79"/>
    <mergeCell ref="G80:G81"/>
    <mergeCell ref="G53:G54"/>
    <mergeCell ref="G55:G56"/>
    <mergeCell ref="G57:G58"/>
    <mergeCell ref="G59:G60"/>
    <mergeCell ref="G61:G62"/>
    <mergeCell ref="G63:G64"/>
    <mergeCell ref="G41:G42"/>
    <mergeCell ref="G43:G44"/>
    <mergeCell ref="G45:G46"/>
    <mergeCell ref="G47:G48"/>
    <mergeCell ref="G49:G50"/>
    <mergeCell ref="G51:G52"/>
    <mergeCell ref="G29:G30"/>
    <mergeCell ref="G31:G32"/>
    <mergeCell ref="G33:G34"/>
    <mergeCell ref="G35:G36"/>
    <mergeCell ref="G37:G38"/>
    <mergeCell ref="G39:G40"/>
    <mergeCell ref="G17:G18"/>
    <mergeCell ref="G19:G20"/>
    <mergeCell ref="G21:G22"/>
    <mergeCell ref="G23:G24"/>
    <mergeCell ref="G25:G26"/>
    <mergeCell ref="G27:G28"/>
    <mergeCell ref="B74:B75"/>
    <mergeCell ref="B76:B77"/>
    <mergeCell ref="B78:B79"/>
    <mergeCell ref="B80:B81"/>
    <mergeCell ref="G5:G6"/>
    <mergeCell ref="G7:G8"/>
    <mergeCell ref="G9:G10"/>
    <mergeCell ref="G11:G12"/>
    <mergeCell ref="G13:G14"/>
    <mergeCell ref="G15:G16"/>
    <mergeCell ref="B61:B62"/>
    <mergeCell ref="B63:B64"/>
    <mergeCell ref="B65:B66"/>
    <mergeCell ref="C69:M69"/>
    <mergeCell ref="C71:M71"/>
    <mergeCell ref="B72:B73"/>
    <mergeCell ref="G65:G66"/>
    <mergeCell ref="G72:G73"/>
    <mergeCell ref="B49:B50"/>
    <mergeCell ref="B51:B52"/>
    <mergeCell ref="B53:B54"/>
    <mergeCell ref="B55:B56"/>
    <mergeCell ref="B57:B58"/>
    <mergeCell ref="B59:B60"/>
    <mergeCell ref="B37:B38"/>
    <mergeCell ref="B39:B40"/>
    <mergeCell ref="B41:B42"/>
    <mergeCell ref="B43:B44"/>
    <mergeCell ref="B45:B46"/>
    <mergeCell ref="B47:B48"/>
    <mergeCell ref="B25:B26"/>
    <mergeCell ref="B27:B28"/>
    <mergeCell ref="B29:B30"/>
    <mergeCell ref="B31:B32"/>
    <mergeCell ref="B33:B34"/>
    <mergeCell ref="B35:B36"/>
    <mergeCell ref="B13:B14"/>
    <mergeCell ref="B15:B16"/>
    <mergeCell ref="B17:B18"/>
    <mergeCell ref="B19:B20"/>
    <mergeCell ref="B21:B22"/>
    <mergeCell ref="B23:B24"/>
    <mergeCell ref="C2:M2"/>
    <mergeCell ref="C4:M4"/>
    <mergeCell ref="B5:B6"/>
    <mergeCell ref="B7:B8"/>
    <mergeCell ref="B9:B10"/>
    <mergeCell ref="B11:B12"/>
  </mergeCells>
  <phoneticPr fontId="1"/>
  <pageMargins left="0.70866141732283472" right="0.70866141732283472" top="0.74803149606299213" bottom="0.74803149606299213" header="0.31496062992125984" footer="0.31496062992125984"/>
  <pageSetup paperSize="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C482F-24F7-4F5C-B8D7-C1D9AEF4234E}">
  <dimension ref="B1:D295"/>
  <sheetViews>
    <sheetView workbookViewId="0">
      <selection activeCell="G21" sqref="G21"/>
    </sheetView>
  </sheetViews>
  <sheetFormatPr defaultRowHeight="18.75" x14ac:dyDescent="0.4"/>
  <cols>
    <col min="2" max="2" width="25.625" customWidth="1"/>
    <col min="4" max="4" width="11.875" customWidth="1"/>
  </cols>
  <sheetData>
    <row r="1" spans="2:4" s="1" customFormat="1" ht="19.5" thickBot="1" x14ac:dyDescent="0.45">
      <c r="C1" s="33" t="s">
        <v>44</v>
      </c>
      <c r="D1" s="33"/>
    </row>
    <row r="2" spans="2:4" x14ac:dyDescent="0.4">
      <c r="B2" s="4"/>
      <c r="C2" s="5" t="s">
        <v>4</v>
      </c>
      <c r="D2" s="13" t="s">
        <v>25</v>
      </c>
    </row>
    <row r="3" spans="2:4" x14ac:dyDescent="0.4">
      <c r="B3" s="6" t="s">
        <v>0</v>
      </c>
      <c r="C3" s="3">
        <v>9.81</v>
      </c>
      <c r="D3" s="14"/>
    </row>
    <row r="4" spans="2:4" x14ac:dyDescent="0.4">
      <c r="B4" s="6" t="s">
        <v>1</v>
      </c>
      <c r="C4" s="3">
        <v>9.8550000000000004</v>
      </c>
      <c r="D4" s="14"/>
    </row>
    <row r="5" spans="2:4" x14ac:dyDescent="0.4">
      <c r="B5" s="6" t="s">
        <v>2</v>
      </c>
      <c r="C5" s="3">
        <v>9.9009999999999998</v>
      </c>
      <c r="D5" s="14"/>
    </row>
    <row r="6" spans="2:4" x14ac:dyDescent="0.4">
      <c r="B6" s="6" t="s">
        <v>3</v>
      </c>
      <c r="C6" s="3">
        <v>9.9350000000000005</v>
      </c>
      <c r="D6" s="14"/>
    </row>
    <row r="7" spans="2:4" x14ac:dyDescent="0.4">
      <c r="B7" s="16" t="s">
        <v>34</v>
      </c>
      <c r="C7" s="3">
        <v>9.9450000000000003</v>
      </c>
      <c r="D7" s="14"/>
    </row>
    <row r="8" spans="2:4" x14ac:dyDescent="0.4">
      <c r="B8" s="6" t="s">
        <v>5</v>
      </c>
      <c r="C8" s="3">
        <v>9.9469999999999992</v>
      </c>
      <c r="D8" s="14"/>
    </row>
    <row r="9" spans="2:4" x14ac:dyDescent="0.4">
      <c r="B9" s="6" t="s">
        <v>6</v>
      </c>
      <c r="C9" s="3">
        <v>9.9870000000000001</v>
      </c>
      <c r="D9" s="14"/>
    </row>
    <row r="10" spans="2:4" x14ac:dyDescent="0.4">
      <c r="B10" s="6" t="s">
        <v>7</v>
      </c>
      <c r="C10" s="3">
        <v>10.026</v>
      </c>
      <c r="D10" s="14"/>
    </row>
    <row r="11" spans="2:4" x14ac:dyDescent="0.4">
      <c r="B11" s="16" t="s">
        <v>35</v>
      </c>
      <c r="C11" s="3">
        <v>10.054</v>
      </c>
      <c r="D11" s="14"/>
    </row>
    <row r="12" spans="2:4" x14ac:dyDescent="0.4">
      <c r="B12" s="6" t="s">
        <v>8</v>
      </c>
      <c r="C12" s="3">
        <v>10.045999999999999</v>
      </c>
      <c r="D12" s="14"/>
    </row>
    <row r="13" spans="2:4" x14ac:dyDescent="0.4">
      <c r="B13" s="6" t="s">
        <v>9</v>
      </c>
      <c r="C13" s="3">
        <v>10.048999999999999</v>
      </c>
      <c r="D13" s="14"/>
    </row>
    <row r="14" spans="2:4" x14ac:dyDescent="0.4">
      <c r="B14" s="6" t="s">
        <v>31</v>
      </c>
      <c r="C14" s="3">
        <v>10.068</v>
      </c>
      <c r="D14" s="14"/>
    </row>
    <row r="15" spans="2:4" x14ac:dyDescent="0.4">
      <c r="B15" s="6" t="s">
        <v>11</v>
      </c>
      <c r="C15" s="3">
        <v>10.087999999999999</v>
      </c>
      <c r="D15" s="14"/>
    </row>
    <row r="16" spans="2:4" x14ac:dyDescent="0.4">
      <c r="B16" s="6" t="s">
        <v>12</v>
      </c>
      <c r="C16" s="3">
        <v>10.089</v>
      </c>
      <c r="D16" s="14"/>
    </row>
    <row r="17" spans="2:4" x14ac:dyDescent="0.4">
      <c r="B17" s="6" t="s">
        <v>13</v>
      </c>
      <c r="C17" s="3">
        <v>10.138</v>
      </c>
      <c r="D17" s="14"/>
    </row>
    <row r="18" spans="2:4" x14ac:dyDescent="0.4">
      <c r="B18" s="16" t="s">
        <v>36</v>
      </c>
      <c r="C18" s="3">
        <v>10.153</v>
      </c>
      <c r="D18" s="14"/>
    </row>
    <row r="19" spans="2:4" x14ac:dyDescent="0.4">
      <c r="B19" s="6" t="s">
        <v>14</v>
      </c>
      <c r="C19" s="3">
        <v>10.154</v>
      </c>
      <c r="D19" s="14"/>
    </row>
    <row r="20" spans="2:4" x14ac:dyDescent="0.4">
      <c r="B20" s="6" t="s">
        <v>15</v>
      </c>
      <c r="C20" s="3">
        <v>10.192</v>
      </c>
      <c r="D20" s="14"/>
    </row>
    <row r="21" spans="2:4" x14ac:dyDescent="0.4">
      <c r="B21" s="6" t="s">
        <v>16</v>
      </c>
      <c r="C21" s="3">
        <v>10.228</v>
      </c>
      <c r="D21" s="14"/>
    </row>
    <row r="22" spans="2:4" x14ac:dyDescent="0.4">
      <c r="B22" s="6" t="s">
        <v>17</v>
      </c>
      <c r="C22" s="3">
        <v>10.298999999999999</v>
      </c>
      <c r="D22" s="14"/>
    </row>
    <row r="23" spans="2:4" x14ac:dyDescent="0.4">
      <c r="B23" s="6" t="s">
        <v>18</v>
      </c>
      <c r="C23" s="3">
        <v>10.364000000000001</v>
      </c>
      <c r="D23" s="14"/>
    </row>
    <row r="24" spans="2:4" x14ac:dyDescent="0.4">
      <c r="B24" s="16" t="s">
        <v>37</v>
      </c>
      <c r="C24" s="3">
        <v>10.375999999999999</v>
      </c>
      <c r="D24" s="14"/>
    </row>
    <row r="25" spans="2:4" x14ac:dyDescent="0.4">
      <c r="B25" s="6" t="s">
        <v>19</v>
      </c>
      <c r="C25" s="3">
        <v>10.414</v>
      </c>
      <c r="D25" s="14"/>
    </row>
    <row r="26" spans="2:4" x14ac:dyDescent="0.4">
      <c r="B26" s="6" t="s">
        <v>20</v>
      </c>
      <c r="C26" s="3">
        <v>10.465</v>
      </c>
      <c r="D26" s="14"/>
    </row>
    <row r="27" spans="2:4" x14ac:dyDescent="0.4">
      <c r="B27" s="6" t="s">
        <v>21</v>
      </c>
      <c r="C27" s="3">
        <v>10.544</v>
      </c>
      <c r="D27" s="14"/>
    </row>
    <row r="28" spans="2:4" x14ac:dyDescent="0.4">
      <c r="B28" s="16" t="s">
        <v>38</v>
      </c>
      <c r="C28" s="3">
        <v>10.589</v>
      </c>
      <c r="D28" s="14"/>
    </row>
    <row r="29" spans="2:4" x14ac:dyDescent="0.4">
      <c r="B29" s="6" t="s">
        <v>22</v>
      </c>
      <c r="C29" s="3">
        <v>10.598000000000001</v>
      </c>
      <c r="D29" s="14"/>
    </row>
    <row r="30" spans="2:4" x14ac:dyDescent="0.4">
      <c r="B30" s="6" t="s">
        <v>23</v>
      </c>
      <c r="C30" s="3">
        <v>10.669</v>
      </c>
      <c r="D30" s="14"/>
    </row>
    <row r="31" spans="2:4" x14ac:dyDescent="0.4">
      <c r="B31" s="6" t="s">
        <v>39</v>
      </c>
      <c r="C31" s="3">
        <v>10.686</v>
      </c>
      <c r="D31" s="14"/>
    </row>
    <row r="32" spans="2:4" x14ac:dyDescent="0.4">
      <c r="B32" s="6" t="s">
        <v>24</v>
      </c>
      <c r="C32" s="3">
        <v>10.734999999999999</v>
      </c>
      <c r="D32" s="14"/>
    </row>
    <row r="33" spans="2:4" ht="19.5" thickBot="1" x14ac:dyDescent="0.45">
      <c r="B33" s="24" t="s">
        <v>40</v>
      </c>
      <c r="C33" s="7">
        <v>10.693</v>
      </c>
      <c r="D33" s="15"/>
    </row>
    <row r="34" spans="2:4" x14ac:dyDescent="0.4">
      <c r="C34" s="2"/>
      <c r="D34" s="28"/>
    </row>
    <row r="35" spans="2:4" x14ac:dyDescent="0.4">
      <c r="D35">
        <v>3.8000000000000002E-5</v>
      </c>
    </row>
    <row r="37" spans="2:4" x14ac:dyDescent="0.4">
      <c r="C37" s="2"/>
    </row>
    <row r="38" spans="2:4" x14ac:dyDescent="0.4">
      <c r="C38" s="2"/>
    </row>
    <row r="39" spans="2:4" x14ac:dyDescent="0.4">
      <c r="C39" s="2"/>
    </row>
    <row r="40" spans="2:4" x14ac:dyDescent="0.4">
      <c r="C40" s="2"/>
    </row>
    <row r="41" spans="2:4" x14ac:dyDescent="0.4">
      <c r="C41" s="2"/>
    </row>
    <row r="42" spans="2:4" x14ac:dyDescent="0.4">
      <c r="C42" s="2"/>
    </row>
    <row r="43" spans="2:4" x14ac:dyDescent="0.4">
      <c r="C43" s="2"/>
    </row>
    <row r="44" spans="2:4" x14ac:dyDescent="0.4">
      <c r="C44" s="2"/>
    </row>
    <row r="45" spans="2:4" x14ac:dyDescent="0.4">
      <c r="C45" s="2"/>
    </row>
    <row r="46" spans="2:4" x14ac:dyDescent="0.4">
      <c r="C46" s="2"/>
    </row>
    <row r="47" spans="2:4" x14ac:dyDescent="0.4">
      <c r="C47" s="2"/>
    </row>
    <row r="48" spans="2:4" x14ac:dyDescent="0.4">
      <c r="C48" s="2"/>
    </row>
    <row r="49" spans="3:3" x14ac:dyDescent="0.4">
      <c r="C49" s="2"/>
    </row>
    <row r="50" spans="3:3" x14ac:dyDescent="0.4">
      <c r="C50" s="2"/>
    </row>
    <row r="51" spans="3:3" x14ac:dyDescent="0.4">
      <c r="C51" s="2"/>
    </row>
    <row r="52" spans="3:3" x14ac:dyDescent="0.4">
      <c r="C52" s="2"/>
    </row>
    <row r="53" spans="3:3" x14ac:dyDescent="0.4">
      <c r="C53" s="2"/>
    </row>
    <row r="54" spans="3:3" x14ac:dyDescent="0.4">
      <c r="C54" s="2"/>
    </row>
    <row r="55" spans="3:3" x14ac:dyDescent="0.4">
      <c r="C55" s="2"/>
    </row>
    <row r="56" spans="3:3" x14ac:dyDescent="0.4">
      <c r="C56" s="2"/>
    </row>
    <row r="57" spans="3:3" x14ac:dyDescent="0.4">
      <c r="C57" s="2"/>
    </row>
    <row r="58" spans="3:3" x14ac:dyDescent="0.4">
      <c r="C58" s="2"/>
    </row>
    <row r="59" spans="3:3" x14ac:dyDescent="0.4">
      <c r="C59" s="2"/>
    </row>
    <row r="60" spans="3:3" x14ac:dyDescent="0.4">
      <c r="C60" s="2"/>
    </row>
    <row r="61" spans="3:3" x14ac:dyDescent="0.4">
      <c r="C61" s="2"/>
    </row>
    <row r="62" spans="3:3" x14ac:dyDescent="0.4">
      <c r="C62" s="2"/>
    </row>
    <row r="63" spans="3:3" x14ac:dyDescent="0.4">
      <c r="C63" s="2"/>
    </row>
    <row r="64" spans="3:3" x14ac:dyDescent="0.4">
      <c r="C64" s="2"/>
    </row>
    <row r="65" spans="3:3" x14ac:dyDescent="0.4">
      <c r="C65" s="2"/>
    </row>
    <row r="66" spans="3:3" x14ac:dyDescent="0.4">
      <c r="C66" s="2"/>
    </row>
    <row r="67" spans="3:3" x14ac:dyDescent="0.4">
      <c r="C67" s="2"/>
    </row>
    <row r="68" spans="3:3" x14ac:dyDescent="0.4">
      <c r="C68" s="2"/>
    </row>
    <row r="69" spans="3:3" x14ac:dyDescent="0.4">
      <c r="C69" s="2"/>
    </row>
    <row r="70" spans="3:3" x14ac:dyDescent="0.4">
      <c r="C70" s="2"/>
    </row>
    <row r="71" spans="3:3" x14ac:dyDescent="0.4">
      <c r="C71" s="2"/>
    </row>
    <row r="72" spans="3:3" x14ac:dyDescent="0.4">
      <c r="C72" s="2"/>
    </row>
    <row r="73" spans="3:3" x14ac:dyDescent="0.4">
      <c r="C73" s="2"/>
    </row>
    <row r="74" spans="3:3" x14ac:dyDescent="0.4">
      <c r="C74" s="2"/>
    </row>
    <row r="75" spans="3:3" x14ac:dyDescent="0.4">
      <c r="C75" s="2"/>
    </row>
    <row r="76" spans="3:3" x14ac:dyDescent="0.4">
      <c r="C76" s="2"/>
    </row>
    <row r="77" spans="3:3" x14ac:dyDescent="0.4">
      <c r="C77" s="2"/>
    </row>
    <row r="78" spans="3:3" x14ac:dyDescent="0.4">
      <c r="C78" s="2"/>
    </row>
    <row r="79" spans="3:3" x14ac:dyDescent="0.4">
      <c r="C79" s="2"/>
    </row>
    <row r="80" spans="3:3" x14ac:dyDescent="0.4">
      <c r="C80" s="2"/>
    </row>
    <row r="81" spans="3:3" x14ac:dyDescent="0.4">
      <c r="C81" s="2"/>
    </row>
    <row r="82" spans="3:3" x14ac:dyDescent="0.4">
      <c r="C82" s="2"/>
    </row>
    <row r="83" spans="3:3" x14ac:dyDescent="0.4">
      <c r="C83" s="2"/>
    </row>
    <row r="84" spans="3:3" x14ac:dyDescent="0.4">
      <c r="C84" s="2"/>
    </row>
    <row r="85" spans="3:3" x14ac:dyDescent="0.4">
      <c r="C85" s="2"/>
    </row>
    <row r="86" spans="3:3" x14ac:dyDescent="0.4">
      <c r="C86" s="2"/>
    </row>
    <row r="87" spans="3:3" x14ac:dyDescent="0.4">
      <c r="C87" s="2"/>
    </row>
    <row r="88" spans="3:3" x14ac:dyDescent="0.4">
      <c r="C88" s="2"/>
    </row>
    <row r="89" spans="3:3" x14ac:dyDescent="0.4">
      <c r="C89" s="2"/>
    </row>
    <row r="90" spans="3:3" x14ac:dyDescent="0.4">
      <c r="C90" s="2"/>
    </row>
    <row r="91" spans="3:3" x14ac:dyDescent="0.4">
      <c r="C91" s="2"/>
    </row>
    <row r="92" spans="3:3" x14ac:dyDescent="0.4">
      <c r="C92" s="2"/>
    </row>
    <row r="93" spans="3:3" x14ac:dyDescent="0.4">
      <c r="C93" s="2"/>
    </row>
    <row r="94" spans="3:3" x14ac:dyDescent="0.4">
      <c r="C94" s="2"/>
    </row>
    <row r="95" spans="3:3" x14ac:dyDescent="0.4">
      <c r="C95" s="2"/>
    </row>
    <row r="96" spans="3:3" x14ac:dyDescent="0.4">
      <c r="C96" s="2"/>
    </row>
    <row r="97" spans="3:3" x14ac:dyDescent="0.4">
      <c r="C97" s="2"/>
    </row>
    <row r="98" spans="3:3" x14ac:dyDescent="0.4">
      <c r="C98" s="2"/>
    </row>
    <row r="99" spans="3:3" x14ac:dyDescent="0.4">
      <c r="C99" s="2"/>
    </row>
    <row r="100" spans="3:3" x14ac:dyDescent="0.4">
      <c r="C100" s="2"/>
    </row>
    <row r="101" spans="3:3" x14ac:dyDescent="0.4">
      <c r="C101" s="2"/>
    </row>
    <row r="102" spans="3:3" x14ac:dyDescent="0.4">
      <c r="C102" s="2"/>
    </row>
    <row r="103" spans="3:3" x14ac:dyDescent="0.4">
      <c r="C103" s="2"/>
    </row>
    <row r="104" spans="3:3" x14ac:dyDescent="0.4">
      <c r="C104" s="2"/>
    </row>
    <row r="105" spans="3:3" x14ac:dyDescent="0.4">
      <c r="C105" s="2"/>
    </row>
    <row r="106" spans="3:3" x14ac:dyDescent="0.4">
      <c r="C106" s="2"/>
    </row>
    <row r="107" spans="3:3" x14ac:dyDescent="0.4">
      <c r="C107" s="2"/>
    </row>
    <row r="108" spans="3:3" x14ac:dyDescent="0.4">
      <c r="C108" s="2"/>
    </row>
    <row r="109" spans="3:3" x14ac:dyDescent="0.4">
      <c r="C109" s="2"/>
    </row>
    <row r="110" spans="3:3" x14ac:dyDescent="0.4">
      <c r="C110" s="2"/>
    </row>
    <row r="111" spans="3:3" x14ac:dyDescent="0.4">
      <c r="C111" s="2"/>
    </row>
    <row r="112" spans="3:3" x14ac:dyDescent="0.4">
      <c r="C112" s="2"/>
    </row>
    <row r="113" spans="3:3" x14ac:dyDescent="0.4">
      <c r="C113" s="2"/>
    </row>
    <row r="114" spans="3:3" x14ac:dyDescent="0.4">
      <c r="C114" s="2"/>
    </row>
    <row r="115" spans="3:3" x14ac:dyDescent="0.4">
      <c r="C115" s="2"/>
    </row>
    <row r="116" spans="3:3" x14ac:dyDescent="0.4">
      <c r="C116" s="2"/>
    </row>
    <row r="117" spans="3:3" x14ac:dyDescent="0.4">
      <c r="C117" s="2"/>
    </row>
    <row r="118" spans="3:3" x14ac:dyDescent="0.4">
      <c r="C118" s="2"/>
    </row>
    <row r="119" spans="3:3" x14ac:dyDescent="0.4">
      <c r="C119" s="2"/>
    </row>
    <row r="120" spans="3:3" x14ac:dyDescent="0.4">
      <c r="C120" s="2"/>
    </row>
    <row r="121" spans="3:3" x14ac:dyDescent="0.4">
      <c r="C121" s="2"/>
    </row>
    <row r="122" spans="3:3" x14ac:dyDescent="0.4">
      <c r="C122" s="2"/>
    </row>
    <row r="123" spans="3:3" x14ac:dyDescent="0.4">
      <c r="C123" s="2"/>
    </row>
    <row r="124" spans="3:3" x14ac:dyDescent="0.4">
      <c r="C124" s="2"/>
    </row>
    <row r="125" spans="3:3" x14ac:dyDescent="0.4">
      <c r="C125" s="2"/>
    </row>
    <row r="126" spans="3:3" x14ac:dyDescent="0.4">
      <c r="C126" s="2"/>
    </row>
    <row r="127" spans="3:3" x14ac:dyDescent="0.4">
      <c r="C127" s="2"/>
    </row>
    <row r="128" spans="3:3" x14ac:dyDescent="0.4">
      <c r="C128" s="2"/>
    </row>
    <row r="129" spans="3:3" x14ac:dyDescent="0.4">
      <c r="C129" s="2"/>
    </row>
    <row r="130" spans="3:3" x14ac:dyDescent="0.4">
      <c r="C130" s="2"/>
    </row>
    <row r="131" spans="3:3" x14ac:dyDescent="0.4">
      <c r="C131" s="2"/>
    </row>
    <row r="132" spans="3:3" x14ac:dyDescent="0.4">
      <c r="C132" s="2"/>
    </row>
    <row r="133" spans="3:3" x14ac:dyDescent="0.4">
      <c r="C133" s="2"/>
    </row>
    <row r="134" spans="3:3" x14ac:dyDescent="0.4">
      <c r="C134" s="2"/>
    </row>
    <row r="135" spans="3:3" x14ac:dyDescent="0.4">
      <c r="C135" s="2"/>
    </row>
    <row r="136" spans="3:3" x14ac:dyDescent="0.4">
      <c r="C136" s="2"/>
    </row>
    <row r="137" spans="3:3" x14ac:dyDescent="0.4">
      <c r="C137" s="2"/>
    </row>
    <row r="138" spans="3:3" x14ac:dyDescent="0.4">
      <c r="C138" s="2"/>
    </row>
    <row r="139" spans="3:3" x14ac:dyDescent="0.4">
      <c r="C139" s="2"/>
    </row>
    <row r="140" spans="3:3" x14ac:dyDescent="0.4">
      <c r="C140" s="2"/>
    </row>
    <row r="141" spans="3:3" x14ac:dyDescent="0.4">
      <c r="C141" s="2"/>
    </row>
    <row r="142" spans="3:3" x14ac:dyDescent="0.4">
      <c r="C142" s="2"/>
    </row>
    <row r="143" spans="3:3" x14ac:dyDescent="0.4">
      <c r="C143" s="2"/>
    </row>
    <row r="144" spans="3:3" x14ac:dyDescent="0.4">
      <c r="C144" s="2"/>
    </row>
    <row r="145" spans="3:3" x14ac:dyDescent="0.4">
      <c r="C145" s="2"/>
    </row>
    <row r="146" spans="3:3" x14ac:dyDescent="0.4">
      <c r="C146" s="2"/>
    </row>
    <row r="147" spans="3:3" x14ac:dyDescent="0.4">
      <c r="C147" s="2"/>
    </row>
    <row r="148" spans="3:3" x14ac:dyDescent="0.4">
      <c r="C148" s="2"/>
    </row>
    <row r="149" spans="3:3" x14ac:dyDescent="0.4">
      <c r="C149" s="2"/>
    </row>
    <row r="150" spans="3:3" x14ac:dyDescent="0.4">
      <c r="C150" s="2"/>
    </row>
    <row r="151" spans="3:3" x14ac:dyDescent="0.4">
      <c r="C151" s="2"/>
    </row>
    <row r="152" spans="3:3" x14ac:dyDescent="0.4">
      <c r="C152" s="2"/>
    </row>
    <row r="153" spans="3:3" x14ac:dyDescent="0.4">
      <c r="C153" s="2"/>
    </row>
    <row r="154" spans="3:3" x14ac:dyDescent="0.4">
      <c r="C154" s="2"/>
    </row>
    <row r="155" spans="3:3" x14ac:dyDescent="0.4">
      <c r="C155" s="2"/>
    </row>
    <row r="156" spans="3:3" x14ac:dyDescent="0.4">
      <c r="C156" s="2"/>
    </row>
    <row r="157" spans="3:3" x14ac:dyDescent="0.4">
      <c r="C157" s="2"/>
    </row>
    <row r="158" spans="3:3" x14ac:dyDescent="0.4">
      <c r="C158" s="2"/>
    </row>
    <row r="159" spans="3:3" x14ac:dyDescent="0.4">
      <c r="C159" s="2"/>
    </row>
    <row r="160" spans="3:3" x14ac:dyDescent="0.4">
      <c r="C160" s="2"/>
    </row>
    <row r="161" spans="3:3" x14ac:dyDescent="0.4">
      <c r="C161" s="2"/>
    </row>
    <row r="162" spans="3:3" x14ac:dyDescent="0.4">
      <c r="C162" s="2"/>
    </row>
    <row r="163" spans="3:3" x14ac:dyDescent="0.4">
      <c r="C163" s="2"/>
    </row>
    <row r="164" spans="3:3" x14ac:dyDescent="0.4">
      <c r="C164" s="2"/>
    </row>
    <row r="165" spans="3:3" x14ac:dyDescent="0.4">
      <c r="C165" s="2"/>
    </row>
    <row r="166" spans="3:3" x14ac:dyDescent="0.4">
      <c r="C166" s="2"/>
    </row>
    <row r="167" spans="3:3" x14ac:dyDescent="0.4">
      <c r="C167" s="2"/>
    </row>
    <row r="168" spans="3:3" x14ac:dyDescent="0.4">
      <c r="C168" s="2"/>
    </row>
    <row r="169" spans="3:3" x14ac:dyDescent="0.4">
      <c r="C169" s="2"/>
    </row>
    <row r="170" spans="3:3" x14ac:dyDescent="0.4">
      <c r="C170" s="2"/>
    </row>
    <row r="171" spans="3:3" x14ac:dyDescent="0.4">
      <c r="C171" s="2"/>
    </row>
    <row r="172" spans="3:3" x14ac:dyDescent="0.4">
      <c r="C172" s="2"/>
    </row>
    <row r="173" spans="3:3" x14ac:dyDescent="0.4">
      <c r="C173" s="2"/>
    </row>
    <row r="174" spans="3:3" x14ac:dyDescent="0.4">
      <c r="C174" s="2"/>
    </row>
    <row r="175" spans="3:3" x14ac:dyDescent="0.4">
      <c r="C175" s="2"/>
    </row>
    <row r="176" spans="3:3" x14ac:dyDescent="0.4">
      <c r="C176" s="2"/>
    </row>
    <row r="177" spans="3:3" x14ac:dyDescent="0.4">
      <c r="C177" s="2"/>
    </row>
    <row r="178" spans="3:3" x14ac:dyDescent="0.4">
      <c r="C178" s="2"/>
    </row>
    <row r="179" spans="3:3" x14ac:dyDescent="0.4">
      <c r="C179" s="2"/>
    </row>
    <row r="180" spans="3:3" x14ac:dyDescent="0.4">
      <c r="C180" s="2"/>
    </row>
    <row r="181" spans="3:3" x14ac:dyDescent="0.4">
      <c r="C181" s="2"/>
    </row>
    <row r="182" spans="3:3" x14ac:dyDescent="0.4">
      <c r="C182" s="2"/>
    </row>
    <row r="183" spans="3:3" x14ac:dyDescent="0.4">
      <c r="C183" s="2"/>
    </row>
    <row r="184" spans="3:3" x14ac:dyDescent="0.4">
      <c r="C184" s="2"/>
    </row>
    <row r="185" spans="3:3" x14ac:dyDescent="0.4">
      <c r="C185" s="2"/>
    </row>
    <row r="186" spans="3:3" x14ac:dyDescent="0.4">
      <c r="C186" s="2"/>
    </row>
    <row r="187" spans="3:3" x14ac:dyDescent="0.4">
      <c r="C187" s="2"/>
    </row>
    <row r="188" spans="3:3" x14ac:dyDescent="0.4">
      <c r="C188" s="2"/>
    </row>
    <row r="189" spans="3:3" x14ac:dyDescent="0.4">
      <c r="C189" s="2"/>
    </row>
    <row r="190" spans="3:3" x14ac:dyDescent="0.4">
      <c r="C190" s="2"/>
    </row>
    <row r="191" spans="3:3" x14ac:dyDescent="0.4">
      <c r="C191" s="2"/>
    </row>
    <row r="192" spans="3:3" x14ac:dyDescent="0.4">
      <c r="C192" s="2"/>
    </row>
    <row r="193" spans="3:3" x14ac:dyDescent="0.4">
      <c r="C193" s="2"/>
    </row>
    <row r="194" spans="3:3" x14ac:dyDescent="0.4">
      <c r="C194" s="2"/>
    </row>
    <row r="195" spans="3:3" x14ac:dyDescent="0.4">
      <c r="C195" s="2"/>
    </row>
    <row r="196" spans="3:3" x14ac:dyDescent="0.4">
      <c r="C196" s="2"/>
    </row>
    <row r="197" spans="3:3" x14ac:dyDescent="0.4">
      <c r="C197" s="2"/>
    </row>
    <row r="198" spans="3:3" x14ac:dyDescent="0.4">
      <c r="C198" s="2"/>
    </row>
    <row r="199" spans="3:3" x14ac:dyDescent="0.4">
      <c r="C199" s="2"/>
    </row>
    <row r="200" spans="3:3" x14ac:dyDescent="0.4">
      <c r="C200" s="2"/>
    </row>
    <row r="201" spans="3:3" x14ac:dyDescent="0.4">
      <c r="C201" s="2"/>
    </row>
    <row r="202" spans="3:3" x14ac:dyDescent="0.4">
      <c r="C202" s="2"/>
    </row>
    <row r="203" spans="3:3" x14ac:dyDescent="0.4">
      <c r="C203" s="2"/>
    </row>
    <row r="204" spans="3:3" x14ac:dyDescent="0.4">
      <c r="C204" s="2"/>
    </row>
    <row r="205" spans="3:3" x14ac:dyDescent="0.4">
      <c r="C205" s="2"/>
    </row>
    <row r="206" spans="3:3" x14ac:dyDescent="0.4">
      <c r="C206" s="2"/>
    </row>
    <row r="207" spans="3:3" x14ac:dyDescent="0.4">
      <c r="C207" s="2"/>
    </row>
    <row r="208" spans="3:3" x14ac:dyDescent="0.4">
      <c r="C208" s="2"/>
    </row>
    <row r="209" spans="3:3" x14ac:dyDescent="0.4">
      <c r="C209" s="2"/>
    </row>
    <row r="210" spans="3:3" x14ac:dyDescent="0.4">
      <c r="C210" s="2"/>
    </row>
    <row r="211" spans="3:3" x14ac:dyDescent="0.4">
      <c r="C211" s="2"/>
    </row>
    <row r="212" spans="3:3" x14ac:dyDescent="0.4">
      <c r="C212" s="2"/>
    </row>
    <row r="213" spans="3:3" x14ac:dyDescent="0.4">
      <c r="C213" s="2"/>
    </row>
    <row r="214" spans="3:3" x14ac:dyDescent="0.4">
      <c r="C214" s="2"/>
    </row>
    <row r="215" spans="3:3" x14ac:dyDescent="0.4">
      <c r="C215" s="2"/>
    </row>
    <row r="216" spans="3:3" x14ac:dyDescent="0.4">
      <c r="C216" s="2"/>
    </row>
    <row r="217" spans="3:3" x14ac:dyDescent="0.4">
      <c r="C217" s="2"/>
    </row>
    <row r="218" spans="3:3" x14ac:dyDescent="0.4">
      <c r="C218" s="2"/>
    </row>
    <row r="219" spans="3:3" x14ac:dyDescent="0.4">
      <c r="C219" s="2"/>
    </row>
    <row r="220" spans="3:3" x14ac:dyDescent="0.4">
      <c r="C220" s="2"/>
    </row>
    <row r="221" spans="3:3" x14ac:dyDescent="0.4">
      <c r="C221" s="2"/>
    </row>
    <row r="222" spans="3:3" x14ac:dyDescent="0.4">
      <c r="C222" s="2"/>
    </row>
    <row r="223" spans="3:3" x14ac:dyDescent="0.4">
      <c r="C223" s="2"/>
    </row>
    <row r="224" spans="3:3" x14ac:dyDescent="0.4">
      <c r="C224" s="2"/>
    </row>
    <row r="225" spans="3:3" x14ac:dyDescent="0.4">
      <c r="C225" s="2"/>
    </row>
    <row r="226" spans="3:3" x14ac:dyDescent="0.4">
      <c r="C226" s="2"/>
    </row>
    <row r="227" spans="3:3" x14ac:dyDescent="0.4">
      <c r="C227" s="2"/>
    </row>
    <row r="228" spans="3:3" x14ac:dyDescent="0.4">
      <c r="C228" s="2"/>
    </row>
    <row r="229" spans="3:3" x14ac:dyDescent="0.4">
      <c r="C229" s="2"/>
    </row>
    <row r="230" spans="3:3" x14ac:dyDescent="0.4">
      <c r="C230" s="2"/>
    </row>
    <row r="231" spans="3:3" x14ac:dyDescent="0.4">
      <c r="C231" s="2"/>
    </row>
    <row r="232" spans="3:3" x14ac:dyDescent="0.4">
      <c r="C232" s="2"/>
    </row>
    <row r="233" spans="3:3" x14ac:dyDescent="0.4">
      <c r="C233" s="2"/>
    </row>
    <row r="234" spans="3:3" x14ac:dyDescent="0.4">
      <c r="C234" s="2"/>
    </row>
    <row r="235" spans="3:3" x14ac:dyDescent="0.4">
      <c r="C235" s="2"/>
    </row>
    <row r="236" spans="3:3" x14ac:dyDescent="0.4">
      <c r="C236" s="2"/>
    </row>
    <row r="237" spans="3:3" x14ac:dyDescent="0.4">
      <c r="C237" s="2"/>
    </row>
    <row r="238" spans="3:3" x14ac:dyDescent="0.4">
      <c r="C238" s="2"/>
    </row>
    <row r="239" spans="3:3" x14ac:dyDescent="0.4">
      <c r="C239" s="2"/>
    </row>
    <row r="240" spans="3:3" x14ac:dyDescent="0.4">
      <c r="C240" s="2"/>
    </row>
    <row r="241" spans="3:3" x14ac:dyDescent="0.4">
      <c r="C241" s="2"/>
    </row>
    <row r="242" spans="3:3" x14ac:dyDescent="0.4">
      <c r="C242" s="2"/>
    </row>
    <row r="243" spans="3:3" x14ac:dyDescent="0.4">
      <c r="C243" s="2"/>
    </row>
    <row r="244" spans="3:3" x14ac:dyDescent="0.4">
      <c r="C244" s="2"/>
    </row>
    <row r="245" spans="3:3" x14ac:dyDescent="0.4">
      <c r="C245" s="2"/>
    </row>
    <row r="246" spans="3:3" x14ac:dyDescent="0.4">
      <c r="C246" s="2"/>
    </row>
    <row r="247" spans="3:3" x14ac:dyDescent="0.4">
      <c r="C247" s="2"/>
    </row>
    <row r="248" spans="3:3" x14ac:dyDescent="0.4">
      <c r="C248" s="2"/>
    </row>
    <row r="249" spans="3:3" x14ac:dyDescent="0.4">
      <c r="C249" s="2"/>
    </row>
    <row r="250" spans="3:3" x14ac:dyDescent="0.4">
      <c r="C250" s="2"/>
    </row>
    <row r="251" spans="3:3" x14ac:dyDescent="0.4">
      <c r="C251" s="2"/>
    </row>
    <row r="252" spans="3:3" x14ac:dyDescent="0.4">
      <c r="C252" s="2"/>
    </row>
    <row r="253" spans="3:3" x14ac:dyDescent="0.4">
      <c r="C253" s="2"/>
    </row>
    <row r="254" spans="3:3" x14ac:dyDescent="0.4">
      <c r="C254" s="2"/>
    </row>
    <row r="255" spans="3:3" x14ac:dyDescent="0.4">
      <c r="C255" s="2"/>
    </row>
    <row r="256" spans="3:3" x14ac:dyDescent="0.4">
      <c r="C256" s="2"/>
    </row>
    <row r="257" spans="3:3" x14ac:dyDescent="0.4">
      <c r="C257" s="2"/>
    </row>
    <row r="258" spans="3:3" x14ac:dyDescent="0.4">
      <c r="C258" s="2"/>
    </row>
    <row r="259" spans="3:3" x14ac:dyDescent="0.4">
      <c r="C259" s="2"/>
    </row>
    <row r="260" spans="3:3" x14ac:dyDescent="0.4">
      <c r="C260" s="2"/>
    </row>
    <row r="261" spans="3:3" x14ac:dyDescent="0.4">
      <c r="C261" s="2"/>
    </row>
    <row r="262" spans="3:3" x14ac:dyDescent="0.4">
      <c r="C262" s="2"/>
    </row>
    <row r="263" spans="3:3" x14ac:dyDescent="0.4">
      <c r="C263" s="2"/>
    </row>
    <row r="264" spans="3:3" x14ac:dyDescent="0.4">
      <c r="C264" s="2"/>
    </row>
    <row r="265" spans="3:3" x14ac:dyDescent="0.4">
      <c r="C265" s="2"/>
    </row>
    <row r="266" spans="3:3" x14ac:dyDescent="0.4">
      <c r="C266" s="2"/>
    </row>
    <row r="267" spans="3:3" x14ac:dyDescent="0.4">
      <c r="C267" s="2"/>
    </row>
    <row r="268" spans="3:3" x14ac:dyDescent="0.4">
      <c r="C268" s="2"/>
    </row>
    <row r="269" spans="3:3" x14ac:dyDescent="0.4">
      <c r="C269" s="2"/>
    </row>
    <row r="270" spans="3:3" x14ac:dyDescent="0.4">
      <c r="C270" s="2"/>
    </row>
    <row r="271" spans="3:3" x14ac:dyDescent="0.4">
      <c r="C271" s="2"/>
    </row>
    <row r="272" spans="3:3" x14ac:dyDescent="0.4">
      <c r="C272" s="2"/>
    </row>
    <row r="273" spans="3:3" x14ac:dyDescent="0.4">
      <c r="C273" s="2"/>
    </row>
    <row r="274" spans="3:3" x14ac:dyDescent="0.4">
      <c r="C274" s="2"/>
    </row>
    <row r="275" spans="3:3" x14ac:dyDescent="0.4">
      <c r="C275" s="2"/>
    </row>
    <row r="276" spans="3:3" x14ac:dyDescent="0.4">
      <c r="C276" s="2"/>
    </row>
    <row r="277" spans="3:3" x14ac:dyDescent="0.4">
      <c r="C277" s="2"/>
    </row>
    <row r="278" spans="3:3" x14ac:dyDescent="0.4">
      <c r="C278" s="2"/>
    </row>
    <row r="279" spans="3:3" x14ac:dyDescent="0.4">
      <c r="C279" s="2"/>
    </row>
    <row r="280" spans="3:3" x14ac:dyDescent="0.4">
      <c r="C280" s="2"/>
    </row>
    <row r="281" spans="3:3" x14ac:dyDescent="0.4">
      <c r="C281" s="2"/>
    </row>
    <row r="282" spans="3:3" x14ac:dyDescent="0.4">
      <c r="C282" s="2"/>
    </row>
    <row r="283" spans="3:3" x14ac:dyDescent="0.4">
      <c r="C283" s="2"/>
    </row>
    <row r="284" spans="3:3" x14ac:dyDescent="0.4">
      <c r="C284" s="2"/>
    </row>
    <row r="285" spans="3:3" x14ac:dyDescent="0.4">
      <c r="C285" s="2"/>
    </row>
    <row r="286" spans="3:3" x14ac:dyDescent="0.4">
      <c r="C286" s="2"/>
    </row>
    <row r="287" spans="3:3" x14ac:dyDescent="0.4">
      <c r="C287" s="2"/>
    </row>
    <row r="288" spans="3:3" x14ac:dyDescent="0.4">
      <c r="C288" s="2"/>
    </row>
    <row r="289" spans="3:3" x14ac:dyDescent="0.4">
      <c r="C289" s="2"/>
    </row>
    <row r="290" spans="3:3" x14ac:dyDescent="0.4">
      <c r="C290" s="2"/>
    </row>
    <row r="291" spans="3:3" x14ac:dyDescent="0.4">
      <c r="C291" s="2"/>
    </row>
    <row r="292" spans="3:3" x14ac:dyDescent="0.4">
      <c r="C292" s="2"/>
    </row>
    <row r="293" spans="3:3" x14ac:dyDescent="0.4">
      <c r="C293" s="2"/>
    </row>
    <row r="294" spans="3:3" x14ac:dyDescent="0.4">
      <c r="C294" s="2"/>
    </row>
    <row r="295" spans="3:3" x14ac:dyDescent="0.4">
      <c r="C295" s="2"/>
    </row>
  </sheetData>
  <mergeCells count="1">
    <mergeCell ref="C1:D1"/>
  </mergeCells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縦断 (現況)</vt:lpstr>
      <vt:lpstr>縦断 (計画)</vt:lpstr>
      <vt:lpstr>横断(現況)</vt:lpstr>
      <vt:lpstr>横断(計画)</vt:lpstr>
      <vt:lpstr>切削計算書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三雄建設 有限会社</dc:creator>
  <cp:lastModifiedBy>三雄建設 有限会社</cp:lastModifiedBy>
  <cp:lastPrinted>2025-01-06T13:25:27Z</cp:lastPrinted>
  <dcterms:created xsi:type="dcterms:W3CDTF">2024-12-17T09:07:52Z</dcterms:created>
  <dcterms:modified xsi:type="dcterms:W3CDTF">2026-01-12T09:28:19Z</dcterms:modified>
</cp:coreProperties>
</file>